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corpagrolimen-my.sharepoint.com/personal/lblartey_thegbfoods_com/Documents/Files/"/>
    </mc:Choice>
  </mc:AlternateContent>
  <xr:revisionPtr revIDLastSave="27" documentId="8_{E0F2AC1E-61AF-4C65-89E9-480810A09AE8}" xr6:coauthVersionLast="47" xr6:coauthVersionMax="47" xr10:uidLastSave="{616DFDC7-DAC2-43F1-8857-368E45A393AE}"/>
  <bookViews>
    <workbookView xWindow="28680" yWindow="-120" windowWidth="29040" windowHeight="16440" xr2:uid="{00000000-000D-0000-FFFF-FFFF00000000}"/>
  </bookViews>
  <sheets>
    <sheet name="Import Dashboard" sheetId="4" r:id="rId1"/>
    <sheet name="Export Dashboard" sheetId="8" r:id="rId2"/>
    <sheet name="Import" sheetId="5" r:id="rId3"/>
    <sheet name="Export" sheetId="6" r:id="rId4"/>
    <sheet name="Cleaned Imports" sheetId="1" r:id="rId5"/>
    <sheet name="Cleaned Exports" sheetId="2" r:id="rId6"/>
  </sheets>
  <definedNames>
    <definedName name="Slicer_Country">#N/A</definedName>
    <definedName name="Slicer_Country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I54"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M163" i="5"/>
  <c r="I163" i="5"/>
  <c r="E163" i="5"/>
  <c r="M162" i="5"/>
  <c r="I162" i="5"/>
  <c r="E162" i="5"/>
  <c r="M161" i="5"/>
  <c r="I161" i="5"/>
  <c r="E161" i="5"/>
  <c r="M160" i="5"/>
  <c r="I160" i="5"/>
  <c r="E160" i="5"/>
  <c r="M159" i="5"/>
  <c r="I159" i="5"/>
  <c r="E159" i="5"/>
  <c r="M158" i="5"/>
  <c r="I158" i="5"/>
  <c r="E158" i="5"/>
  <c r="M157" i="5"/>
  <c r="I157" i="5"/>
  <c r="E157" i="5"/>
  <c r="M156" i="5"/>
  <c r="I156" i="5"/>
  <c r="E156" i="5"/>
  <c r="M155" i="5"/>
  <c r="I155" i="5"/>
  <c r="E155" i="5"/>
  <c r="M154" i="5"/>
  <c r="I154" i="5"/>
  <c r="E154" i="5"/>
  <c r="M153" i="5"/>
  <c r="I153" i="5"/>
  <c r="E153" i="5"/>
  <c r="M152" i="5"/>
  <c r="I152" i="5"/>
  <c r="E152" i="5"/>
  <c r="M151" i="5"/>
  <c r="I151" i="5"/>
  <c r="E151" i="5"/>
  <c r="M150" i="5"/>
  <c r="I150" i="5"/>
  <c r="E150" i="5"/>
  <c r="M149" i="5"/>
  <c r="I149" i="5"/>
  <c r="E149" i="5"/>
  <c r="M148" i="5"/>
  <c r="I148" i="5"/>
  <c r="E148" i="5"/>
  <c r="M147" i="5"/>
  <c r="I147" i="5"/>
  <c r="E147" i="5"/>
  <c r="M146" i="5"/>
  <c r="I146" i="5"/>
  <c r="E146" i="5"/>
  <c r="M145" i="5"/>
  <c r="I145" i="5"/>
  <c r="E145" i="5"/>
  <c r="M144" i="5"/>
  <c r="I144" i="5"/>
  <c r="E144" i="5"/>
  <c r="M143" i="5"/>
  <c r="I143" i="5"/>
  <c r="E143" i="5"/>
  <c r="M142" i="5"/>
  <c r="I142" i="5"/>
  <c r="E142" i="5"/>
  <c r="M141" i="5"/>
  <c r="I141" i="5"/>
  <c r="E141" i="5"/>
  <c r="M140" i="5"/>
  <c r="I140" i="5"/>
  <c r="E140" i="5"/>
  <c r="M139" i="5"/>
  <c r="I139" i="5"/>
  <c r="E139" i="5"/>
  <c r="M138" i="5"/>
  <c r="I138" i="5"/>
  <c r="E138" i="5"/>
  <c r="M137" i="5"/>
  <c r="I137" i="5"/>
  <c r="E137" i="5"/>
  <c r="M136" i="5"/>
  <c r="I136" i="5"/>
  <c r="E136" i="5"/>
  <c r="M135" i="5"/>
  <c r="I135" i="5"/>
  <c r="E135" i="5"/>
  <c r="M134" i="5"/>
  <c r="I134" i="5"/>
  <c r="E134" i="5"/>
  <c r="M133" i="5"/>
  <c r="I133" i="5"/>
  <c r="E133" i="5"/>
  <c r="M132" i="5"/>
  <c r="I132" i="5"/>
  <c r="E132" i="5"/>
  <c r="M131" i="5"/>
  <c r="I131" i="5"/>
  <c r="E131" i="5"/>
  <c r="M130" i="5"/>
  <c r="I130" i="5"/>
  <c r="E130" i="5"/>
  <c r="M129" i="5"/>
  <c r="I129" i="5"/>
  <c r="E129" i="5"/>
  <c r="M128" i="5"/>
  <c r="I128" i="5"/>
  <c r="E128" i="5"/>
  <c r="M127" i="5"/>
  <c r="I127" i="5"/>
  <c r="E127" i="5"/>
  <c r="M126" i="5"/>
  <c r="I126" i="5"/>
  <c r="E126" i="5"/>
  <c r="M125" i="5"/>
  <c r="I125" i="5"/>
  <c r="E125" i="5"/>
  <c r="M124" i="5"/>
  <c r="I124" i="5"/>
  <c r="E124" i="5"/>
  <c r="M123" i="5"/>
  <c r="I123" i="5"/>
  <c r="E123" i="5"/>
  <c r="M122" i="5"/>
  <c r="I122" i="5"/>
  <c r="E122" i="5"/>
  <c r="M121" i="5"/>
  <c r="I121" i="5"/>
  <c r="E121" i="5"/>
  <c r="M120" i="5"/>
  <c r="I120" i="5"/>
  <c r="E120" i="5"/>
  <c r="M119" i="5"/>
  <c r="I119" i="5"/>
  <c r="E119" i="5"/>
  <c r="M118" i="5"/>
  <c r="I118" i="5"/>
  <c r="E118" i="5"/>
  <c r="M117" i="5"/>
  <c r="I117" i="5"/>
  <c r="E117" i="5"/>
  <c r="M116" i="5"/>
  <c r="I116" i="5"/>
  <c r="E116" i="5"/>
  <c r="M115" i="5"/>
  <c r="I115" i="5"/>
  <c r="E115" i="5"/>
  <c r="M114" i="5"/>
  <c r="I114" i="5"/>
  <c r="E114" i="5"/>
  <c r="M113" i="5"/>
  <c r="I113" i="5"/>
  <c r="E113" i="5"/>
  <c r="M112" i="5"/>
  <c r="I112" i="5"/>
  <c r="E112" i="5"/>
  <c r="M111" i="5"/>
  <c r="I111" i="5"/>
  <c r="E111" i="5"/>
  <c r="M110" i="5"/>
  <c r="I110" i="5"/>
  <c r="E110" i="5"/>
  <c r="M109" i="5"/>
  <c r="I109" i="5"/>
  <c r="E109" i="5"/>
  <c r="M108" i="5"/>
  <c r="I108" i="5"/>
  <c r="E108" i="5"/>
  <c r="M107" i="5"/>
  <c r="I107" i="5"/>
  <c r="E107" i="5"/>
  <c r="M106" i="5"/>
  <c r="I106" i="5"/>
  <c r="E106" i="5"/>
  <c r="M105" i="5"/>
  <c r="I105" i="5"/>
  <c r="E105" i="5"/>
  <c r="M104" i="5"/>
  <c r="I104" i="5"/>
  <c r="E104" i="5"/>
  <c r="M103" i="5"/>
  <c r="I103" i="5"/>
  <c r="E103" i="5"/>
  <c r="M102" i="5"/>
  <c r="I102" i="5"/>
  <c r="E102" i="5"/>
  <c r="M101" i="5"/>
  <c r="I101" i="5"/>
  <c r="E101" i="5"/>
  <c r="M100" i="5"/>
  <c r="I100" i="5"/>
  <c r="E100" i="5"/>
  <c r="M99" i="5"/>
  <c r="I99" i="5"/>
  <c r="E99" i="5"/>
  <c r="M98" i="5"/>
  <c r="I98" i="5"/>
  <c r="E98" i="5"/>
  <c r="M97" i="5"/>
  <c r="I97" i="5"/>
  <c r="E97" i="5"/>
  <c r="M96" i="5"/>
  <c r="I96" i="5"/>
  <c r="E96" i="5"/>
  <c r="M95" i="5"/>
  <c r="I95" i="5"/>
  <c r="E95" i="5"/>
  <c r="M94" i="5"/>
  <c r="I94" i="5"/>
  <c r="E94" i="5"/>
  <c r="M93" i="5"/>
  <c r="I93" i="5"/>
  <c r="E93" i="5"/>
  <c r="M92" i="5"/>
  <c r="I92" i="5"/>
  <c r="E92" i="5"/>
  <c r="M91" i="5"/>
  <c r="I91" i="5"/>
  <c r="E91" i="5"/>
  <c r="M90" i="5"/>
  <c r="I90" i="5"/>
  <c r="E90" i="5"/>
  <c r="M89" i="5"/>
  <c r="I89" i="5"/>
  <c r="E89" i="5"/>
  <c r="M88" i="5"/>
  <c r="I88" i="5"/>
  <c r="E88" i="5"/>
  <c r="M87" i="5"/>
  <c r="I87" i="5"/>
  <c r="E87" i="5"/>
  <c r="M86" i="5"/>
  <c r="I86" i="5"/>
  <c r="E86" i="5"/>
  <c r="M85" i="5"/>
  <c r="I85" i="5"/>
  <c r="E85" i="5"/>
  <c r="M84" i="5"/>
  <c r="I84" i="5"/>
  <c r="E84" i="5"/>
  <c r="M83" i="5"/>
  <c r="I83" i="5"/>
  <c r="E83" i="5"/>
  <c r="M82" i="5"/>
  <c r="I82" i="5"/>
  <c r="E82" i="5"/>
  <c r="M81" i="5"/>
  <c r="I81" i="5"/>
  <c r="E81" i="5"/>
  <c r="M80" i="5"/>
  <c r="I80" i="5"/>
  <c r="E80" i="5"/>
  <c r="M79" i="5"/>
  <c r="I79" i="5"/>
  <c r="E79" i="5"/>
  <c r="M78" i="5"/>
  <c r="I78" i="5"/>
  <c r="E78" i="5"/>
  <c r="M77" i="5"/>
  <c r="I77" i="5"/>
  <c r="E77" i="5"/>
  <c r="M76" i="5"/>
  <c r="I76" i="5"/>
  <c r="E76" i="5"/>
  <c r="M75" i="5"/>
  <c r="I75" i="5"/>
  <c r="E75" i="5"/>
  <c r="M74" i="5"/>
  <c r="I74" i="5"/>
  <c r="E74" i="5"/>
  <c r="M73" i="5"/>
  <c r="I73" i="5"/>
  <c r="E73" i="5"/>
  <c r="M72" i="5"/>
  <c r="I72" i="5"/>
  <c r="E72" i="5"/>
  <c r="M71" i="5"/>
  <c r="I71" i="5"/>
  <c r="E71" i="5"/>
  <c r="M70" i="5"/>
  <c r="I70" i="5"/>
  <c r="E70" i="5"/>
  <c r="M69" i="5"/>
  <c r="I69" i="5"/>
  <c r="E69" i="5"/>
  <c r="M68" i="5"/>
  <c r="I68" i="5"/>
  <c r="E68" i="5"/>
  <c r="M67" i="5"/>
  <c r="I67" i="5"/>
  <c r="E67" i="5"/>
  <c r="M66" i="5"/>
  <c r="I66" i="5"/>
  <c r="E66" i="5"/>
  <c r="M65" i="5"/>
  <c r="I65" i="5"/>
  <c r="E65" i="5"/>
  <c r="M64" i="5"/>
  <c r="I64" i="5"/>
  <c r="E64" i="5"/>
  <c r="M63" i="5"/>
  <c r="I63" i="5"/>
  <c r="E63" i="5"/>
  <c r="M62" i="5"/>
  <c r="I62" i="5"/>
  <c r="E62" i="5"/>
  <c r="M61" i="5"/>
  <c r="I61" i="5"/>
  <c r="E61" i="5"/>
  <c r="M60" i="5"/>
  <c r="I60" i="5"/>
  <c r="E60" i="5"/>
  <c r="M59" i="5"/>
  <c r="I59" i="5"/>
  <c r="E59" i="5"/>
  <c r="M58" i="5"/>
  <c r="I58" i="5"/>
  <c r="E58" i="5"/>
  <c r="M57" i="5"/>
  <c r="I57" i="5"/>
  <c r="E57" i="5"/>
  <c r="M56" i="5"/>
  <c r="I56" i="5"/>
  <c r="E56" i="5"/>
  <c r="M55" i="5"/>
  <c r="I55" i="5"/>
  <c r="E55" i="5"/>
  <c r="M54" i="5"/>
  <c r="I54" i="5"/>
  <c r="E54" i="5"/>
  <c r="M53" i="5"/>
  <c r="I53" i="5"/>
  <c r="E53" i="5"/>
  <c r="M52" i="5"/>
  <c r="I52" i="5"/>
  <c r="E52" i="5"/>
  <c r="M51" i="5"/>
  <c r="I51" i="5"/>
  <c r="E51" i="5"/>
  <c r="M50" i="5"/>
  <c r="I50" i="5"/>
  <c r="E50" i="5"/>
  <c r="M49" i="5"/>
  <c r="I49" i="5"/>
  <c r="E49" i="5"/>
  <c r="M48" i="5"/>
  <c r="I48" i="5"/>
  <c r="E48" i="5"/>
  <c r="M47" i="5"/>
  <c r="I47" i="5"/>
  <c r="E47" i="5"/>
  <c r="M46" i="5"/>
  <c r="I46" i="5"/>
  <c r="E46" i="5"/>
  <c r="M45" i="5"/>
  <c r="I45" i="5"/>
  <c r="E45" i="5"/>
  <c r="M44" i="5"/>
  <c r="I44" i="5"/>
  <c r="E44" i="5"/>
  <c r="M43" i="5"/>
  <c r="I43" i="5"/>
  <c r="E43" i="5"/>
  <c r="M42" i="5"/>
  <c r="I42" i="5"/>
  <c r="E42" i="5"/>
  <c r="M41" i="5"/>
  <c r="I41" i="5"/>
  <c r="E41" i="5"/>
  <c r="M40" i="5"/>
  <c r="I40" i="5"/>
  <c r="E40" i="5"/>
  <c r="M39" i="5"/>
  <c r="I39" i="5"/>
  <c r="E39" i="5"/>
  <c r="M38" i="5"/>
  <c r="I38" i="5"/>
  <c r="E38" i="5"/>
  <c r="M37" i="5"/>
  <c r="I37" i="5"/>
  <c r="E37" i="5"/>
  <c r="M36" i="5"/>
  <c r="I36" i="5"/>
  <c r="E36" i="5"/>
  <c r="M35" i="5"/>
  <c r="I35" i="5"/>
  <c r="E35" i="5"/>
  <c r="M34" i="5"/>
  <c r="I34" i="5"/>
  <c r="E34" i="5"/>
  <c r="M33" i="5"/>
  <c r="I33" i="5"/>
  <c r="E33" i="5"/>
  <c r="M32" i="5"/>
  <c r="I32" i="5"/>
  <c r="E32" i="5"/>
  <c r="M31" i="5"/>
  <c r="I31" i="5"/>
  <c r="E31" i="5"/>
  <c r="M30" i="5"/>
  <c r="I30" i="5"/>
  <c r="E30" i="5"/>
  <c r="M29" i="5"/>
  <c r="I29" i="5"/>
  <c r="E29" i="5"/>
  <c r="M28" i="5"/>
  <c r="I28" i="5"/>
  <c r="E28" i="5"/>
  <c r="M27" i="5"/>
  <c r="I27" i="5"/>
  <c r="E27" i="5"/>
  <c r="M26" i="5"/>
  <c r="I26" i="5"/>
  <c r="E26" i="5"/>
  <c r="M25" i="5"/>
  <c r="I25" i="5"/>
  <c r="E25" i="5"/>
  <c r="M24" i="5"/>
  <c r="I24" i="5"/>
  <c r="E24" i="5"/>
  <c r="M23" i="5"/>
  <c r="I23" i="5"/>
  <c r="E23" i="5"/>
  <c r="M22" i="5"/>
  <c r="I22" i="5"/>
  <c r="E22" i="5"/>
  <c r="M21" i="5"/>
  <c r="I21" i="5"/>
  <c r="E21" i="5"/>
  <c r="M20" i="5"/>
  <c r="I20" i="5"/>
  <c r="E20" i="5"/>
  <c r="M19" i="5"/>
  <c r="I19" i="5"/>
  <c r="E19" i="5"/>
  <c r="M18" i="5"/>
  <c r="I18" i="5"/>
  <c r="E18" i="5"/>
  <c r="M17" i="5"/>
  <c r="I17" i="5"/>
  <c r="E17" i="5"/>
  <c r="M16" i="5"/>
  <c r="I16" i="5"/>
  <c r="E16" i="5"/>
  <c r="M15" i="5"/>
  <c r="I15" i="5"/>
  <c r="E15" i="5"/>
  <c r="M14" i="5"/>
  <c r="I14" i="5"/>
  <c r="E14" i="5"/>
  <c r="M13" i="5"/>
  <c r="I13" i="5"/>
  <c r="E13" i="5"/>
  <c r="M12" i="5"/>
  <c r="I12" i="5"/>
  <c r="E12" i="5"/>
  <c r="M11" i="5"/>
  <c r="I11" i="5"/>
  <c r="E11" i="5"/>
  <c r="M10" i="5"/>
  <c r="I10" i="5"/>
  <c r="E10" i="5"/>
  <c r="M9" i="5"/>
  <c r="I9" i="5"/>
  <c r="E9" i="5"/>
  <c r="M8" i="5"/>
  <c r="I8" i="5"/>
  <c r="E8" i="5"/>
  <c r="M7" i="5"/>
  <c r="I7" i="5"/>
  <c r="E7" i="5"/>
  <c r="M6" i="5"/>
  <c r="I6" i="5"/>
  <c r="E6" i="5"/>
  <c r="M5" i="5"/>
  <c r="I5" i="5"/>
  <c r="E5" i="5"/>
  <c r="M4" i="5"/>
  <c r="I4" i="5"/>
  <c r="E4" i="5"/>
  <c r="M3" i="5"/>
  <c r="I3" i="5"/>
  <c r="E3" i="5"/>
  <c r="M2" i="5"/>
  <c r="I2" i="5"/>
  <c r="E2" i="5"/>
</calcChain>
</file>

<file path=xl/sharedStrings.xml><?xml version="1.0" encoding="utf-8"?>
<sst xmlns="http://schemas.openxmlformats.org/spreadsheetml/2006/main" count="6202" uniqueCount="1080">
  <si>
    <t>Country</t>
  </si>
  <si>
    <t>Year</t>
  </si>
  <si>
    <t>Product</t>
  </si>
  <si>
    <t>Rank</t>
  </si>
  <si>
    <t>Algeria</t>
  </si>
  <si>
    <t xml:space="preserve">Algeria </t>
  </si>
  <si>
    <t>Angola</t>
  </si>
  <si>
    <t>Benin</t>
  </si>
  <si>
    <t>Botswana</t>
  </si>
  <si>
    <t>Burkina Faso</t>
  </si>
  <si>
    <t>Burundi</t>
  </si>
  <si>
    <t>Cabo Verde</t>
  </si>
  <si>
    <t>Cameroon</t>
  </si>
  <si>
    <t>Central African Republic</t>
  </si>
  <si>
    <t>Chad</t>
  </si>
  <si>
    <t>Comoros</t>
  </si>
  <si>
    <t>Congo</t>
  </si>
  <si>
    <t>Côte d'Ivoire</t>
  </si>
  <si>
    <t>Democratic Republic of the Congo</t>
  </si>
  <si>
    <t>Djibouti</t>
  </si>
  <si>
    <t>Egypt</t>
  </si>
  <si>
    <t>Equatorial Guinea</t>
  </si>
  <si>
    <t>Eritrea</t>
  </si>
  <si>
    <t>Eswatini</t>
  </si>
  <si>
    <t>Ethiopia</t>
  </si>
  <si>
    <t>Gabon</t>
  </si>
  <si>
    <t>Gambia</t>
  </si>
  <si>
    <t>Ghana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</si>
  <si>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</si>
  <si>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</si>
  <si>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</si>
  <si>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</si>
  <si>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</si>
  <si>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</si>
  <si>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</si>
  <si>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</si>
  <si>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</si>
  <si>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</si>
  <si>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</si>
  <si>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</si>
  <si>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</si>
  <si>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</si>
  <si>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</si>
  <si>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</si>
  <si>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</si>
  <si>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</si>
  <si>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</si>
  <si>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</si>
  <si>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</si>
  <si>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</si>
  <si>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Africa</t>
  </si>
  <si>
    <t>South Sudan</t>
  </si>
  <si>
    <t>Sudan</t>
  </si>
  <si>
    <t>Togo</t>
  </si>
  <si>
    <t>Tunisia</t>
  </si>
  <si>
    <t>Uganda</t>
  </si>
  <si>
    <t>United Republic of Tanzania</t>
  </si>
  <si>
    <t>Zambia</t>
  </si>
  <si>
    <t>Zimbabwe</t>
  </si>
  <si>
    <t>Wheat</t>
  </si>
  <si>
    <t>Concentrated Milk</t>
  </si>
  <si>
    <t>Soybean oil</t>
  </si>
  <si>
    <t>Maize</t>
  </si>
  <si>
    <t xml:space="preserve">Wheat </t>
  </si>
  <si>
    <t>Meat of chickens, fresh or chilled</t>
  </si>
  <si>
    <t>Rice</t>
  </si>
  <si>
    <t>Coconuts,Brazil nuts &amp;Cashews</t>
  </si>
  <si>
    <t>Soybean</t>
  </si>
  <si>
    <t>Oily Seeds</t>
  </si>
  <si>
    <t xml:space="preserve">Soybean </t>
  </si>
  <si>
    <t>Coconuts,Brazil Nuts &amp; Cashews</t>
  </si>
  <si>
    <t>Vegetable Residues</t>
  </si>
  <si>
    <t xml:space="preserve">Coconuts,Brazil nuts &amp;Cashews </t>
  </si>
  <si>
    <t xml:space="preserve">Soybean Meal </t>
  </si>
  <si>
    <t>Fermented Milk Products</t>
  </si>
  <si>
    <t>Sugar</t>
  </si>
  <si>
    <t>Flavoured Water</t>
  </si>
  <si>
    <t>Flavored Water</t>
  </si>
  <si>
    <t>Fish</t>
  </si>
  <si>
    <t>Malt, whether or not roasted</t>
  </si>
  <si>
    <t>Malt</t>
  </si>
  <si>
    <t>Other Edible Preparations</t>
  </si>
  <si>
    <t>Other edible preparations</t>
  </si>
  <si>
    <t>Pasta</t>
  </si>
  <si>
    <t>Palm oil</t>
  </si>
  <si>
    <t>Wheat and meslin flour</t>
  </si>
  <si>
    <t>Chicken</t>
  </si>
  <si>
    <t>Oil seed</t>
  </si>
  <si>
    <t>Sorghum</t>
  </si>
  <si>
    <t>sugar</t>
  </si>
  <si>
    <t>Seed Oils</t>
  </si>
  <si>
    <t>Palm Oil</t>
  </si>
  <si>
    <t>Processed cereals</t>
  </si>
  <si>
    <t>Soya bean oil</t>
  </si>
  <si>
    <t>Flour of cereals n.e.c</t>
  </si>
  <si>
    <t>Barley</t>
  </si>
  <si>
    <t xml:space="preserve">Sugar </t>
  </si>
  <si>
    <t>Cheese</t>
  </si>
  <si>
    <t>Malt extract</t>
  </si>
  <si>
    <t>Malt Extract</t>
  </si>
  <si>
    <t>Soups and Broth</t>
  </si>
  <si>
    <t>Soups and Broths</t>
  </si>
  <si>
    <t>Soybean Oil</t>
  </si>
  <si>
    <t>Raw cane or beet sugar</t>
  </si>
  <si>
    <t xml:space="preserve">Meat of chickens, fresh or chilled </t>
  </si>
  <si>
    <t xml:space="preserve">Seed Oils </t>
  </si>
  <si>
    <t>Animal Food</t>
  </si>
  <si>
    <t>Wine</t>
  </si>
  <si>
    <t>Olive Oil</t>
  </si>
  <si>
    <t xml:space="preserve">Rice </t>
  </si>
  <si>
    <t xml:space="preserve">Palm oil </t>
  </si>
  <si>
    <t xml:space="preserve">Sorgum </t>
  </si>
  <si>
    <t xml:space="preserve">Flours of cereal n.e.c </t>
  </si>
  <si>
    <t xml:space="preserve">Flour of cereals n.e.c </t>
  </si>
  <si>
    <t xml:space="preserve">Sorghum </t>
  </si>
  <si>
    <t xml:space="preserve">Concentrated Milk </t>
  </si>
  <si>
    <t xml:space="preserve">Wheat Flours </t>
  </si>
  <si>
    <t xml:space="preserve">Barley </t>
  </si>
  <si>
    <t>Beer</t>
  </si>
  <si>
    <t xml:space="preserve">France </t>
  </si>
  <si>
    <t xml:space="preserve">Argentina </t>
  </si>
  <si>
    <t xml:space="preserve">Russian Federation </t>
  </si>
  <si>
    <t>Canada</t>
  </si>
  <si>
    <t>New Zealand</t>
  </si>
  <si>
    <t xml:space="preserve">france </t>
  </si>
  <si>
    <t xml:space="preserve">United States of America </t>
  </si>
  <si>
    <t xml:space="preserve">India </t>
  </si>
  <si>
    <t xml:space="preserve">China, mainland </t>
  </si>
  <si>
    <t>Denmark</t>
  </si>
  <si>
    <t>China</t>
  </si>
  <si>
    <t>United Arab Emirates</t>
  </si>
  <si>
    <t xml:space="preserve">Brazil </t>
  </si>
  <si>
    <t>Peru</t>
  </si>
  <si>
    <t xml:space="preserve">Japan </t>
  </si>
  <si>
    <t>Belguim</t>
  </si>
  <si>
    <t>Tanzania</t>
  </si>
  <si>
    <t xml:space="preserve">Belgium </t>
  </si>
  <si>
    <t>Netherlands</t>
  </si>
  <si>
    <t xml:space="preserve">Netherlands  </t>
  </si>
  <si>
    <t xml:space="preserve">Thailand </t>
  </si>
  <si>
    <t xml:space="preserve">Poland </t>
  </si>
  <si>
    <t>Thailand</t>
  </si>
  <si>
    <t>Ireland</t>
  </si>
  <si>
    <t>Germany</t>
  </si>
  <si>
    <t xml:space="preserve">Türkiye </t>
  </si>
  <si>
    <t>Turkey</t>
  </si>
  <si>
    <t xml:space="preserve">Pakistan </t>
  </si>
  <si>
    <t>Maurituis</t>
  </si>
  <si>
    <t xml:space="preserve">Malaysia </t>
  </si>
  <si>
    <t>Norway</t>
  </si>
  <si>
    <t xml:space="preserve">Indonesia </t>
  </si>
  <si>
    <t>Latvia</t>
  </si>
  <si>
    <t xml:space="preserve">Viet Nam </t>
  </si>
  <si>
    <t>Chile</t>
  </si>
  <si>
    <t>Vietnam</t>
  </si>
  <si>
    <t>Indonesia</t>
  </si>
  <si>
    <t>Malaysia</t>
  </si>
  <si>
    <t xml:space="preserve">Ukraine </t>
  </si>
  <si>
    <t>Oman</t>
  </si>
  <si>
    <t>Australia</t>
  </si>
  <si>
    <t>UK</t>
  </si>
  <si>
    <t>Cambodia</t>
  </si>
  <si>
    <t xml:space="preserve">Germany </t>
  </si>
  <si>
    <t xml:space="preserve">Portugal </t>
  </si>
  <si>
    <t>India</t>
  </si>
  <si>
    <t>Poland</t>
  </si>
  <si>
    <t>Ukraine</t>
  </si>
  <si>
    <t>Mozmbique</t>
  </si>
  <si>
    <t>Cote d'Ivoire</t>
  </si>
  <si>
    <t>Brazill</t>
  </si>
  <si>
    <t>Spain</t>
  </si>
  <si>
    <t xml:space="preserve">Australia </t>
  </si>
  <si>
    <t>Lithuana</t>
  </si>
  <si>
    <t>Lithuania</t>
  </si>
  <si>
    <t xml:space="preserve">United Arab Emirates </t>
  </si>
  <si>
    <t xml:space="preserve">Bulgaria </t>
  </si>
  <si>
    <t xml:space="preserve">Romania </t>
  </si>
  <si>
    <t>Argentina</t>
  </si>
  <si>
    <t>Tropical Fruits</t>
  </si>
  <si>
    <t>Locust beans, seaweed, sugar beet, cane, for food export destinations</t>
  </si>
  <si>
    <t>Processed Crustaceans</t>
  </si>
  <si>
    <t>Crustaceans</t>
  </si>
  <si>
    <t>Bran</t>
  </si>
  <si>
    <t>Bran of wheat</t>
  </si>
  <si>
    <t xml:space="preserve">Cotton </t>
  </si>
  <si>
    <t>Coconuts, Brail Nuts and Cashews</t>
  </si>
  <si>
    <t>Soya beans</t>
  </si>
  <si>
    <t>Cattle</t>
  </si>
  <si>
    <t>Meat of cattle boneless, fresh or chilled</t>
  </si>
  <si>
    <t>Dried Legumes</t>
  </si>
  <si>
    <t>Cotton</t>
  </si>
  <si>
    <t>Other oily seeds</t>
  </si>
  <si>
    <t>Coconuts, Brazil Nuts and Cashews</t>
  </si>
  <si>
    <t>Coffee</t>
  </si>
  <si>
    <t>Tea leaves</t>
  </si>
  <si>
    <t>Processed Fish</t>
  </si>
  <si>
    <t>Molluscs</t>
  </si>
  <si>
    <t>Fish Fillets</t>
  </si>
  <si>
    <t>Mollusc</t>
  </si>
  <si>
    <t>Cocoa beans</t>
  </si>
  <si>
    <t>Bananas</t>
  </si>
  <si>
    <t>Cocoa Butter</t>
  </si>
  <si>
    <t xml:space="preserve">Cocoa paste </t>
  </si>
  <si>
    <t>Poultry meat preparations</t>
  </si>
  <si>
    <t>Cotton, carded or combed</t>
  </si>
  <si>
    <t>Sesame seed</t>
  </si>
  <si>
    <t>Beeswax</t>
  </si>
  <si>
    <t>Food preparations n.e.c.</t>
  </si>
  <si>
    <t>Other Oily Seeds</t>
  </si>
  <si>
    <t>Insect Resins</t>
  </si>
  <si>
    <t>Cloves (whole stems), raw</t>
  </si>
  <si>
    <t>Essential oils n.e.c.</t>
  </si>
  <si>
    <t>Vanilla, raw</t>
  </si>
  <si>
    <t>Bran of cereals n.e.c.</t>
  </si>
  <si>
    <t>Natural rubber in other forms</t>
  </si>
  <si>
    <t>Cashew nuts, in shell</t>
  </si>
  <si>
    <t>Sunflower-seed oil, crude</t>
  </si>
  <si>
    <t>Refined sugar</t>
  </si>
  <si>
    <t>Citrus</t>
  </si>
  <si>
    <t>Fruit prepared n.e.c.</t>
  </si>
  <si>
    <t>Wheat flours</t>
  </si>
  <si>
    <t>Sugar confectionery</t>
  </si>
  <si>
    <t>Sugar and syrups n.e.c.</t>
  </si>
  <si>
    <t>Crude organic material n.e.c.</t>
  </si>
  <si>
    <t>Other vegetables, fresh n.e.c.</t>
  </si>
  <si>
    <t>Oil of palm kernel</t>
  </si>
  <si>
    <t>Industrial monocarboxylic fatty acids; acid oils from refining</t>
  </si>
  <si>
    <t>Coconuts, Brazil Nuts, and Cashews</t>
  </si>
  <si>
    <t>Fish Oil</t>
  </si>
  <si>
    <t>Chocolate</t>
  </si>
  <si>
    <t>Animal Meal and Pellets</t>
  </si>
  <si>
    <t>Cocoa Paste</t>
  </si>
  <si>
    <t>Cocoa paste not defatted</t>
  </si>
  <si>
    <t>Cocoa Beans</t>
  </si>
  <si>
    <t xml:space="preserve">Fish </t>
  </si>
  <si>
    <t>Fish oil</t>
  </si>
  <si>
    <t>Water</t>
  </si>
  <si>
    <t>Cocoa Shells</t>
  </si>
  <si>
    <t>Coconut oil</t>
  </si>
  <si>
    <t>Potatoes</t>
  </si>
  <si>
    <t>Unmanufactured tobacco</t>
  </si>
  <si>
    <t>Groundnuts</t>
  </si>
  <si>
    <t>Watermelons</t>
  </si>
  <si>
    <t>Hides, wet-salted of cattle</t>
  </si>
  <si>
    <t>Food wastes</t>
  </si>
  <si>
    <t>Cranberries</t>
  </si>
  <si>
    <t>Cantaloupes and other melons</t>
  </si>
  <si>
    <t>Other live animals non food, n.e.c.</t>
  </si>
  <si>
    <t>Tomatoes</t>
  </si>
  <si>
    <t>Tangerines, mandarins, clementines</t>
  </si>
  <si>
    <t>Other pulses n.e.c.</t>
  </si>
  <si>
    <t>Grapes</t>
  </si>
  <si>
    <t>Onions and shallots, dry (excluding dehydrated)</t>
  </si>
  <si>
    <t>Vegetable products, fresh or dry n.e.c.</t>
  </si>
  <si>
    <t>Beans, dry</t>
  </si>
  <si>
    <t>Rice, paddy (rice milled equivalent)</t>
  </si>
  <si>
    <t>Chillies and peppers, dry (Capsicum spp., Pimenta spp.), raw</t>
  </si>
  <si>
    <t>Sheep and Goats</t>
  </si>
  <si>
    <t>Bovine</t>
  </si>
  <si>
    <t>Other Animals</t>
  </si>
  <si>
    <t>Forage Crops</t>
  </si>
  <si>
    <t>Onions</t>
  </si>
  <si>
    <t>Sheep and Goat meat</t>
  </si>
  <si>
    <t>Sheep and Goat</t>
  </si>
  <si>
    <t>Sheeps and Goats</t>
  </si>
  <si>
    <t>Cake of  soya beans</t>
  </si>
  <si>
    <t>Olive oil</t>
  </si>
  <si>
    <t>Soybean Meal</t>
  </si>
  <si>
    <t>Other Fruits</t>
  </si>
  <si>
    <t>Jordan</t>
  </si>
  <si>
    <t>France</t>
  </si>
  <si>
    <t>Portugal</t>
  </si>
  <si>
    <t>Bangladesh</t>
  </si>
  <si>
    <t>Switzerland</t>
  </si>
  <si>
    <t>Singapore</t>
  </si>
  <si>
    <t>Japan</t>
  </si>
  <si>
    <t>Pakistan</t>
  </si>
  <si>
    <t xml:space="preserve">Netherlands </t>
  </si>
  <si>
    <t>Belgium</t>
  </si>
  <si>
    <t>China, mainland</t>
  </si>
  <si>
    <t>United States of America</t>
  </si>
  <si>
    <t>Italy</t>
  </si>
  <si>
    <t>Viet Nam</t>
  </si>
  <si>
    <t>Russian Federation</t>
  </si>
  <si>
    <t>Saudi Arabia</t>
  </si>
  <si>
    <t>Israel</t>
  </si>
  <si>
    <t>Kazakhstan</t>
  </si>
  <si>
    <t>South Korea</t>
  </si>
  <si>
    <t>Macau</t>
  </si>
  <si>
    <t>Malta</t>
  </si>
  <si>
    <t>United Kingdom of Great Britain and Northern Ireland</t>
  </si>
  <si>
    <t>Türkiye</t>
  </si>
  <si>
    <t>Chines Taipei</t>
  </si>
  <si>
    <t>China, Taiwan Province of</t>
  </si>
  <si>
    <t>Hong Kong</t>
  </si>
  <si>
    <t>Row Labels</t>
  </si>
  <si>
    <t>Grand Total</t>
  </si>
  <si>
    <t>Column Labels</t>
  </si>
  <si>
    <t>Sum of Value</t>
  </si>
  <si>
    <t>Value(USD)</t>
  </si>
  <si>
    <t>Name of Country</t>
  </si>
  <si>
    <t>Top 1 Import</t>
  </si>
  <si>
    <t>Top 1 Import Value</t>
  </si>
  <si>
    <t xml:space="preserve">Top 1 Import Value  </t>
  </si>
  <si>
    <t>Source Country(Top)</t>
  </si>
  <si>
    <t>Top 2 Import</t>
  </si>
  <si>
    <t>Top 2 Import Value</t>
  </si>
  <si>
    <t xml:space="preserve">Top 2 Import Value    </t>
  </si>
  <si>
    <t>Source Country (Top)</t>
  </si>
  <si>
    <t>Top 3 Import</t>
  </si>
  <si>
    <t>Top 3 Import Value</t>
  </si>
  <si>
    <t xml:space="preserve">Top 3 Import Value    </t>
  </si>
  <si>
    <t>Source Country  (Top)</t>
  </si>
  <si>
    <t>2.2B</t>
  </si>
  <si>
    <t>1.16B</t>
  </si>
  <si>
    <t>827M</t>
  </si>
  <si>
    <t>2.66B</t>
  </si>
  <si>
    <t>1.62B</t>
  </si>
  <si>
    <t>988M</t>
  </si>
  <si>
    <t>1.83B</t>
  </si>
  <si>
    <t>1.31B</t>
  </si>
  <si>
    <t>1.07B</t>
  </si>
  <si>
    <t>349M</t>
  </si>
  <si>
    <t>244M</t>
  </si>
  <si>
    <t>242M</t>
  </si>
  <si>
    <t>594M</t>
  </si>
  <si>
    <t>414M</t>
  </si>
  <si>
    <t>362M</t>
  </si>
  <si>
    <t>606M</t>
  </si>
  <si>
    <t>260M</t>
  </si>
  <si>
    <t>229M</t>
  </si>
  <si>
    <t>264M</t>
  </si>
  <si>
    <t>155M</t>
  </si>
  <si>
    <t>39.2M</t>
  </si>
  <si>
    <t>292M</t>
  </si>
  <si>
    <t>266M</t>
  </si>
  <si>
    <t>31.5M</t>
  </si>
  <si>
    <t>142M</t>
  </si>
  <si>
    <t>25.5M</t>
  </si>
  <si>
    <t>1.75M</t>
  </si>
  <si>
    <t>64.9M</t>
  </si>
  <si>
    <t>60.2M</t>
  </si>
  <si>
    <t>56.1M</t>
  </si>
  <si>
    <t>145M</t>
  </si>
  <si>
    <t>66.2M</t>
  </si>
  <si>
    <t>40.1M</t>
  </si>
  <si>
    <t>158M</t>
  </si>
  <si>
    <t>63.2M</t>
  </si>
  <si>
    <t>53.6M</t>
  </si>
  <si>
    <t>90.8M</t>
  </si>
  <si>
    <t>69M</t>
  </si>
  <si>
    <t>60.8M</t>
  </si>
  <si>
    <t>151M</t>
  </si>
  <si>
    <t>87.9M</t>
  </si>
  <si>
    <t>42.2M</t>
  </si>
  <si>
    <t>184M</t>
  </si>
  <si>
    <t>154M</t>
  </si>
  <si>
    <t>80M</t>
  </si>
  <si>
    <t>23.7M</t>
  </si>
  <si>
    <t>20.5M</t>
  </si>
  <si>
    <t>12.6M</t>
  </si>
  <si>
    <t>26.3M</t>
  </si>
  <si>
    <t>17.4M</t>
  </si>
  <si>
    <t>10.7M</t>
  </si>
  <si>
    <t>8.19M</t>
  </si>
  <si>
    <t>7.73M</t>
  </si>
  <si>
    <t>6.82M</t>
  </si>
  <si>
    <t>22.1M</t>
  </si>
  <si>
    <t>15.2M</t>
  </si>
  <si>
    <t>14.8M</t>
  </si>
  <si>
    <t>30.3M</t>
  </si>
  <si>
    <t>20.2M</t>
  </si>
  <si>
    <t>19.9M</t>
  </si>
  <si>
    <t>26.6M</t>
  </si>
  <si>
    <t>18.1M</t>
  </si>
  <si>
    <t>13.9M</t>
  </si>
  <si>
    <t>299M</t>
  </si>
  <si>
    <t>250M</t>
  </si>
  <si>
    <t>316M</t>
  </si>
  <si>
    <t>304M</t>
  </si>
  <si>
    <t>189M</t>
  </si>
  <si>
    <t>232M</t>
  </si>
  <si>
    <t>175M</t>
  </si>
  <si>
    <t>11.6M</t>
  </si>
  <si>
    <t>10.9M</t>
  </si>
  <si>
    <t>9.56M</t>
  </si>
  <si>
    <t>10.3M</t>
  </si>
  <si>
    <t>9.7M</t>
  </si>
  <si>
    <t>16.9M</t>
  </si>
  <si>
    <t>16.7M</t>
  </si>
  <si>
    <t>9.97M</t>
  </si>
  <si>
    <t>19.1M</t>
  </si>
  <si>
    <t>14.2M</t>
  </si>
  <si>
    <t>24.9M</t>
  </si>
  <si>
    <t>13.4M</t>
  </si>
  <si>
    <t>12.7M</t>
  </si>
  <si>
    <t>17.7M</t>
  </si>
  <si>
    <t>13.6M</t>
  </si>
  <si>
    <t>13.3M</t>
  </si>
  <si>
    <t>36.9M</t>
  </si>
  <si>
    <t>8.3M</t>
  </si>
  <si>
    <t>21.6M</t>
  </si>
  <si>
    <t>20.4M</t>
  </si>
  <si>
    <t>9.68M</t>
  </si>
  <si>
    <t>29.5M</t>
  </si>
  <si>
    <t>28.4M</t>
  </si>
  <si>
    <t>6.32M</t>
  </si>
  <si>
    <t>164M</t>
  </si>
  <si>
    <t>73.3M</t>
  </si>
  <si>
    <t>69.2M</t>
  </si>
  <si>
    <t>206M</t>
  </si>
  <si>
    <t>104M</t>
  </si>
  <si>
    <t>73.9M</t>
  </si>
  <si>
    <t>227M</t>
  </si>
  <si>
    <t>103M</t>
  </si>
  <si>
    <t>60.7M</t>
  </si>
  <si>
    <t>728M</t>
  </si>
  <si>
    <t>710M</t>
  </si>
  <si>
    <t>236M</t>
  </si>
  <si>
    <t>809M</t>
  </si>
  <si>
    <t>772M</t>
  </si>
  <si>
    <t>314M</t>
  </si>
  <si>
    <t>846M</t>
  </si>
  <si>
    <t>721M</t>
  </si>
  <si>
    <t>231M</t>
  </si>
  <si>
    <t>214M</t>
  </si>
  <si>
    <t>186M</t>
  </si>
  <si>
    <t>286M</t>
  </si>
  <si>
    <t>204M</t>
  </si>
  <si>
    <t>116M</t>
  </si>
  <si>
    <t>468M</t>
  </si>
  <si>
    <t>306M</t>
  </si>
  <si>
    <t>271M</t>
  </si>
  <si>
    <t>612M</t>
  </si>
  <si>
    <t>476M</t>
  </si>
  <si>
    <t>319M</t>
  </si>
  <si>
    <t>756M</t>
  </si>
  <si>
    <t>405M</t>
  </si>
  <si>
    <t>377M</t>
  </si>
  <si>
    <t>5.79B</t>
  </si>
  <si>
    <t>2.26B</t>
  </si>
  <si>
    <t>2.17B</t>
  </si>
  <si>
    <t>5.32B</t>
  </si>
  <si>
    <t>2.5B</t>
  </si>
  <si>
    <t>2.25B</t>
  </si>
  <si>
    <t>4B</t>
  </si>
  <si>
    <t>1.49B</t>
  </si>
  <si>
    <t>1.2B</t>
  </si>
  <si>
    <t>39.3M</t>
  </si>
  <si>
    <t>16.5M</t>
  </si>
  <si>
    <t>11.8M</t>
  </si>
  <si>
    <t>45.4M</t>
  </si>
  <si>
    <t>13M</t>
  </si>
  <si>
    <t>42.8M</t>
  </si>
  <si>
    <t>15.1M</t>
  </si>
  <si>
    <t>13.7M</t>
  </si>
  <si>
    <t>27M</t>
  </si>
  <si>
    <t>22.7M</t>
  </si>
  <si>
    <t>12.8M</t>
  </si>
  <si>
    <t>27.3M</t>
  </si>
  <si>
    <t>22.3M</t>
  </si>
  <si>
    <t>15.3M</t>
  </si>
  <si>
    <t>37.2M</t>
  </si>
  <si>
    <t>23.6M</t>
  </si>
  <si>
    <t>18.8M</t>
  </si>
  <si>
    <t>45.1M</t>
  </si>
  <si>
    <t>21.3M</t>
  </si>
  <si>
    <t>42.9M</t>
  </si>
  <si>
    <t>24.5M</t>
  </si>
  <si>
    <t>20.1M</t>
  </si>
  <si>
    <t>1.02B</t>
  </si>
  <si>
    <t>820M</t>
  </si>
  <si>
    <t>714M</t>
  </si>
  <si>
    <t>863M</t>
  </si>
  <si>
    <t>764M</t>
  </si>
  <si>
    <t>667M</t>
  </si>
  <si>
    <t>484M</t>
  </si>
  <si>
    <t>478M</t>
  </si>
  <si>
    <t>106M</t>
  </si>
  <si>
    <t>76.9M</t>
  </si>
  <si>
    <t>43.2M</t>
  </si>
  <si>
    <t>111M</t>
  </si>
  <si>
    <t>60.1M</t>
  </si>
  <si>
    <t>47.6M</t>
  </si>
  <si>
    <t>98.6M</t>
  </si>
  <si>
    <t>83.7M</t>
  </si>
  <si>
    <t>44.9M</t>
  </si>
  <si>
    <t>76.6M</t>
  </si>
  <si>
    <t>67.6M</t>
  </si>
  <si>
    <t>40.3M</t>
  </si>
  <si>
    <t>76.5M</t>
  </si>
  <si>
    <t>75.4M</t>
  </si>
  <si>
    <t>61.4M</t>
  </si>
  <si>
    <t>69.5M</t>
  </si>
  <si>
    <t>59.1M</t>
  </si>
  <si>
    <t>539M</t>
  </si>
  <si>
    <t>402M</t>
  </si>
  <si>
    <t>353M</t>
  </si>
  <si>
    <t>453M</t>
  </si>
  <si>
    <t>320M</t>
  </si>
  <si>
    <t>267M</t>
  </si>
  <si>
    <t>342M</t>
  </si>
  <si>
    <t>298M</t>
  </si>
  <si>
    <t>257M</t>
  </si>
  <si>
    <t>334M</t>
  </si>
  <si>
    <t>105M</t>
  </si>
  <si>
    <t>74.1M</t>
  </si>
  <si>
    <t>301M</t>
  </si>
  <si>
    <t>123M</t>
  </si>
  <si>
    <t>99.2M</t>
  </si>
  <si>
    <t>336M</t>
  </si>
  <si>
    <t>124M</t>
  </si>
  <si>
    <t>35.3M</t>
  </si>
  <si>
    <t>4.36M</t>
  </si>
  <si>
    <t>17.6M</t>
  </si>
  <si>
    <t>4.49M</t>
  </si>
  <si>
    <t>45.6M</t>
  </si>
  <si>
    <t>8.93M</t>
  </si>
  <si>
    <t>5.4M</t>
  </si>
  <si>
    <t>950M</t>
  </si>
  <si>
    <t>502M</t>
  </si>
  <si>
    <t>276M</t>
  </si>
  <si>
    <t>578M</t>
  </si>
  <si>
    <t>238M</t>
  </si>
  <si>
    <t>654M</t>
  </si>
  <si>
    <t>401M</t>
  </si>
  <si>
    <t>30.1M</t>
  </si>
  <si>
    <t>27.5M</t>
  </si>
  <si>
    <t>37.6M</t>
  </si>
  <si>
    <t>34.4M</t>
  </si>
  <si>
    <t>196M</t>
  </si>
  <si>
    <t>40.4M</t>
  </si>
  <si>
    <t>26.9M</t>
  </si>
  <si>
    <t>197M</t>
  </si>
  <si>
    <t>23.3M</t>
  </si>
  <si>
    <t>218M</t>
  </si>
  <si>
    <t>44.1M</t>
  </si>
  <si>
    <t>28.2M</t>
  </si>
  <si>
    <t>224M</t>
  </si>
  <si>
    <t>223M</t>
  </si>
  <si>
    <t>213M</t>
  </si>
  <si>
    <t>201M</t>
  </si>
  <si>
    <t>179M</t>
  </si>
  <si>
    <t>252M</t>
  </si>
  <si>
    <t>208M</t>
  </si>
  <si>
    <t>172M</t>
  </si>
  <si>
    <t>115M</t>
  </si>
  <si>
    <t>97.9M</t>
  </si>
  <si>
    <t>168M</t>
  </si>
  <si>
    <t>119M</t>
  </si>
  <si>
    <t>118M</t>
  </si>
  <si>
    <t>73M</t>
  </si>
  <si>
    <t>43.8M</t>
  </si>
  <si>
    <t>14M</t>
  </si>
  <si>
    <t>42.4M</t>
  </si>
  <si>
    <t>22.6M</t>
  </si>
  <si>
    <t>8.8M</t>
  </si>
  <si>
    <t>44M</t>
  </si>
  <si>
    <t>35.1M</t>
  </si>
  <si>
    <t>81.5M</t>
  </si>
  <si>
    <t>81.3M</t>
  </si>
  <si>
    <t>102M</t>
  </si>
  <si>
    <t>1.7M</t>
  </si>
  <si>
    <t>91.8M</t>
  </si>
  <si>
    <t>89.5M</t>
  </si>
  <si>
    <t>183M</t>
  </si>
  <si>
    <t>157M</t>
  </si>
  <si>
    <t>143M</t>
  </si>
  <si>
    <t>277M</t>
  </si>
  <si>
    <t>278M</t>
  </si>
  <si>
    <t>222M</t>
  </si>
  <si>
    <t>209M</t>
  </si>
  <si>
    <t>199M</t>
  </si>
  <si>
    <t>61.8M</t>
  </si>
  <si>
    <t>48M</t>
  </si>
  <si>
    <t>84.8M</t>
  </si>
  <si>
    <t>55M</t>
  </si>
  <si>
    <t>228M</t>
  </si>
  <si>
    <t>71.6M</t>
  </si>
  <si>
    <t>65.2M</t>
  </si>
  <si>
    <t>1.51B</t>
  </si>
  <si>
    <t>586M</t>
  </si>
  <si>
    <t>566M</t>
  </si>
  <si>
    <t>2.41B</t>
  </si>
  <si>
    <t>733M</t>
  </si>
  <si>
    <t>634M</t>
  </si>
  <si>
    <t>1.84B</t>
  </si>
  <si>
    <t>888M</t>
  </si>
  <si>
    <t>666M</t>
  </si>
  <si>
    <t>535M</t>
  </si>
  <si>
    <t>374M</t>
  </si>
  <si>
    <t>225M</t>
  </si>
  <si>
    <t>380M</t>
  </si>
  <si>
    <t>305M</t>
  </si>
  <si>
    <t>270M</t>
  </si>
  <si>
    <t>447M</t>
  </si>
  <si>
    <t>338M</t>
  </si>
  <si>
    <t>294M</t>
  </si>
  <si>
    <t>67.1M</t>
  </si>
  <si>
    <t>49.4M</t>
  </si>
  <si>
    <t>43M</t>
  </si>
  <si>
    <t>76.7M</t>
  </si>
  <si>
    <t>51.4M</t>
  </si>
  <si>
    <t>44.6M</t>
  </si>
  <si>
    <t>125M</t>
  </si>
  <si>
    <t>44.3M</t>
  </si>
  <si>
    <t>41M</t>
  </si>
  <si>
    <t>459M</t>
  </si>
  <si>
    <t>50.3M</t>
  </si>
  <si>
    <t>534M</t>
  </si>
  <si>
    <t>47.2M</t>
  </si>
  <si>
    <t>312M</t>
  </si>
  <si>
    <t>66.6M</t>
  </si>
  <si>
    <t>38.4M</t>
  </si>
  <si>
    <t>3.56B</t>
  </si>
  <si>
    <t>625M</t>
  </si>
  <si>
    <t>619M</t>
  </si>
  <si>
    <t>3.25B</t>
  </si>
  <si>
    <t>784.M</t>
  </si>
  <si>
    <t>647M</t>
  </si>
  <si>
    <t>2.97B</t>
  </si>
  <si>
    <t>747M</t>
  </si>
  <si>
    <t>682M</t>
  </si>
  <si>
    <t>152M</t>
  </si>
  <si>
    <t>138M</t>
  </si>
  <si>
    <t>84.7M</t>
  </si>
  <si>
    <t>178M</t>
  </si>
  <si>
    <t>144M</t>
  </si>
  <si>
    <t>67.5M</t>
  </si>
  <si>
    <t>57.2M</t>
  </si>
  <si>
    <t>7.94M</t>
  </si>
  <si>
    <t>4.27M</t>
  </si>
  <si>
    <t>4.26M</t>
  </si>
  <si>
    <t>7.12M</t>
  </si>
  <si>
    <t>5.55M</t>
  </si>
  <si>
    <t>3.22M</t>
  </si>
  <si>
    <t>15M</t>
  </si>
  <si>
    <t>4.4M</t>
  </si>
  <si>
    <t>3.9M</t>
  </si>
  <si>
    <t>465M</t>
  </si>
  <si>
    <t>330M</t>
  </si>
  <si>
    <t>202M</t>
  </si>
  <si>
    <t>603M</t>
  </si>
  <si>
    <t>417M</t>
  </si>
  <si>
    <t>340M</t>
  </si>
  <si>
    <t>139M</t>
  </si>
  <si>
    <t>8.67M</t>
  </si>
  <si>
    <t>6.51M</t>
  </si>
  <si>
    <t>165M</t>
  </si>
  <si>
    <t>7.58M</t>
  </si>
  <si>
    <t>7.07M</t>
  </si>
  <si>
    <t>11.2M</t>
  </si>
  <si>
    <t>9.46M</t>
  </si>
  <si>
    <t>130M</t>
  </si>
  <si>
    <t>37.1M</t>
  </si>
  <si>
    <t>25.7M</t>
  </si>
  <si>
    <t>160M</t>
  </si>
  <si>
    <t>32.6M</t>
  </si>
  <si>
    <t>30.4M</t>
  </si>
  <si>
    <t>256M</t>
  </si>
  <si>
    <t>27.8M</t>
  </si>
  <si>
    <t>19.5M</t>
  </si>
  <si>
    <t>345M</t>
  </si>
  <si>
    <t>182M</t>
  </si>
  <si>
    <t>421M</t>
  </si>
  <si>
    <t>272M</t>
  </si>
  <si>
    <t>243M</t>
  </si>
  <si>
    <t>226M</t>
  </si>
  <si>
    <t>507M</t>
  </si>
  <si>
    <t>457M</t>
  </si>
  <si>
    <t>627M</t>
  </si>
  <si>
    <t>477M</t>
  </si>
  <si>
    <t>296M</t>
  </si>
  <si>
    <t>621M</t>
  </si>
  <si>
    <t>618M</t>
  </si>
  <si>
    <t>283M</t>
  </si>
  <si>
    <t>40.5M</t>
  </si>
  <si>
    <t>35.8M</t>
  </si>
  <si>
    <t>53.2M</t>
  </si>
  <si>
    <t>48.9M</t>
  </si>
  <si>
    <t>46.8M</t>
  </si>
  <si>
    <t>43.7M</t>
  </si>
  <si>
    <t>39.1M</t>
  </si>
  <si>
    <t>889M</t>
  </si>
  <si>
    <t>508M</t>
  </si>
  <si>
    <t>989M</t>
  </si>
  <si>
    <t>505M</t>
  </si>
  <si>
    <t>794M</t>
  </si>
  <si>
    <t>329M</t>
  </si>
  <si>
    <t>121M</t>
  </si>
  <si>
    <t>333M</t>
  </si>
  <si>
    <t>233M</t>
  </si>
  <si>
    <t>346M</t>
  </si>
  <si>
    <t>427M</t>
  </si>
  <si>
    <t>357M</t>
  </si>
  <si>
    <t>153M</t>
  </si>
  <si>
    <t>564M</t>
  </si>
  <si>
    <t>275M</t>
  </si>
  <si>
    <t>867M</t>
  </si>
  <si>
    <t>289M</t>
  </si>
  <si>
    <t>628M</t>
  </si>
  <si>
    <t>411M</t>
  </si>
  <si>
    <t>318M</t>
  </si>
  <si>
    <t>237M</t>
  </si>
  <si>
    <t>376M</t>
  </si>
  <si>
    <t>203M</t>
  </si>
  <si>
    <t>146M</t>
  </si>
  <si>
    <t>161M</t>
  </si>
  <si>
    <t>287M</t>
  </si>
  <si>
    <t>217M</t>
  </si>
  <si>
    <t>148M</t>
  </si>
  <si>
    <t>466M</t>
  </si>
  <si>
    <t>112M</t>
  </si>
  <si>
    <t>38M</t>
  </si>
  <si>
    <t>140M</t>
  </si>
  <si>
    <t>76.3M</t>
  </si>
  <si>
    <t>57M</t>
  </si>
  <si>
    <t>78.7M</t>
  </si>
  <si>
    <t>42.1M</t>
  </si>
  <si>
    <t>220M</t>
  </si>
  <si>
    <t>134M</t>
  </si>
  <si>
    <t>174M</t>
  </si>
  <si>
    <t>147M</t>
  </si>
  <si>
    <t>Top 1 Export</t>
  </si>
  <si>
    <t>Top 1 Export Value</t>
  </si>
  <si>
    <t>Top 2 Export</t>
  </si>
  <si>
    <t>Top 2 Export Value</t>
  </si>
  <si>
    <t>Top 3 Export</t>
  </si>
  <si>
    <t>Top 3 Export Value</t>
  </si>
  <si>
    <t>127M</t>
  </si>
  <si>
    <t>47.9M</t>
  </si>
  <si>
    <t>200M</t>
  </si>
  <si>
    <t>132M</t>
  </si>
  <si>
    <t>32.1M</t>
  </si>
  <si>
    <t>28.1M</t>
  </si>
  <si>
    <t>27.9M</t>
  </si>
  <si>
    <t>8.2M</t>
  </si>
  <si>
    <t>46.7M</t>
  </si>
  <si>
    <t>25.2M</t>
  </si>
  <si>
    <t>22M</t>
  </si>
  <si>
    <t>599M</t>
  </si>
  <si>
    <t>490M</t>
  </si>
  <si>
    <t>113M</t>
  </si>
  <si>
    <t>11.3M</t>
  </si>
  <si>
    <t>10.8M</t>
  </si>
  <si>
    <t>21.9M</t>
  </si>
  <si>
    <t>5.98M</t>
  </si>
  <si>
    <t>526M</t>
  </si>
  <si>
    <t>95.7M</t>
  </si>
  <si>
    <t>517M</t>
  </si>
  <si>
    <t>262M</t>
  </si>
  <si>
    <t>41.8M</t>
  </si>
  <si>
    <t>23.9M</t>
  </si>
  <si>
    <t>1.03M</t>
  </si>
  <si>
    <t>36.2M</t>
  </si>
  <si>
    <t>26.5M</t>
  </si>
  <si>
    <t>1.76M</t>
  </si>
  <si>
    <t>11.7M</t>
  </si>
  <si>
    <t>152K</t>
  </si>
  <si>
    <t>53.1M</t>
  </si>
  <si>
    <t>5.72M</t>
  </si>
  <si>
    <t>5.53M</t>
  </si>
  <si>
    <t>51.9M</t>
  </si>
  <si>
    <t>7.48M</t>
  </si>
  <si>
    <t>5.68M</t>
  </si>
  <si>
    <t>8.62M</t>
  </si>
  <si>
    <t>572M</t>
  </si>
  <si>
    <t>482.4M</t>
  </si>
  <si>
    <t>159M</t>
  </si>
  <si>
    <t>719M</t>
  </si>
  <si>
    <t>128M</t>
  </si>
  <si>
    <t>115K</t>
  </si>
  <si>
    <t>50K</t>
  </si>
  <si>
    <t>20K</t>
  </si>
  <si>
    <t>1.4M</t>
  </si>
  <si>
    <t>943K</t>
  </si>
  <si>
    <t>905K</t>
  </si>
  <si>
    <t>262K</t>
  </si>
  <si>
    <t>131M</t>
  </si>
  <si>
    <t>6.97M</t>
  </si>
  <si>
    <t>31.9M</t>
  </si>
  <si>
    <t>31M</t>
  </si>
  <si>
    <t>169M</t>
  </si>
  <si>
    <t>11.9M</t>
  </si>
  <si>
    <t>19.8M</t>
  </si>
  <si>
    <t>5.69M</t>
  </si>
  <si>
    <t>13.8M</t>
  </si>
  <si>
    <t>6.4M</t>
  </si>
  <si>
    <t>4.7M</t>
  </si>
  <si>
    <t>65.6M</t>
  </si>
  <si>
    <t>5.01M</t>
  </si>
  <si>
    <t>3.45M</t>
  </si>
  <si>
    <t>41.9M</t>
  </si>
  <si>
    <t>6.59M</t>
  </si>
  <si>
    <t>13.2M</t>
  </si>
  <si>
    <t>6.54M</t>
  </si>
  <si>
    <t>32M</t>
  </si>
  <si>
    <t>11.1M</t>
  </si>
  <si>
    <t>5.6M</t>
  </si>
  <si>
    <t>3.2B</t>
  </si>
  <si>
    <t>1.6B</t>
  </si>
  <si>
    <t>817.3M</t>
  </si>
  <si>
    <t>4.3B</t>
  </si>
  <si>
    <t>1.4B</t>
  </si>
  <si>
    <t>937.1M</t>
  </si>
  <si>
    <t>3.3B</t>
  </si>
  <si>
    <t>1.7B</t>
  </si>
  <si>
    <t>1.0B</t>
  </si>
  <si>
    <t>109M</t>
  </si>
  <si>
    <t>29.2M</t>
  </si>
  <si>
    <t>16.4M</t>
  </si>
  <si>
    <t>34.2M</t>
  </si>
  <si>
    <t>16M</t>
  </si>
  <si>
    <t>649.5M</t>
  </si>
  <si>
    <t>407.0M</t>
  </si>
  <si>
    <t>284.6M</t>
  </si>
  <si>
    <t>546.5M</t>
  </si>
  <si>
    <t>272.0M</t>
  </si>
  <si>
    <t>252.7M</t>
  </si>
  <si>
    <t>539.0M</t>
  </si>
  <si>
    <t>424.2M</t>
  </si>
  <si>
    <t>388.2M</t>
  </si>
  <si>
    <t>635.3M</t>
  </si>
  <si>
    <t>369.7M</t>
  </si>
  <si>
    <t>338.9M</t>
  </si>
  <si>
    <t>576.1M</t>
  </si>
  <si>
    <t>411.6M</t>
  </si>
  <si>
    <t>265.5M</t>
  </si>
  <si>
    <t>798.0M</t>
  </si>
  <si>
    <t>439.7M</t>
  </si>
  <si>
    <t>426.5M</t>
  </si>
  <si>
    <t>1.48M</t>
  </si>
  <si>
    <t>166k</t>
  </si>
  <si>
    <t>1.95M</t>
  </si>
  <si>
    <t>87.8k</t>
  </si>
  <si>
    <t>1.35M</t>
  </si>
  <si>
    <t>462k</t>
  </si>
  <si>
    <t>254k</t>
  </si>
  <si>
    <t>252K</t>
  </si>
  <si>
    <t>313.0M</t>
  </si>
  <si>
    <t>36.8M</t>
  </si>
  <si>
    <t>34.0M</t>
  </si>
  <si>
    <t>384.2M</t>
  </si>
  <si>
    <t>32.9M</t>
  </si>
  <si>
    <t>368.9M</t>
  </si>
  <si>
    <t>38.7M</t>
  </si>
  <si>
    <t>1.5B</t>
  </si>
  <si>
    <t>261.6M</t>
  </si>
  <si>
    <t>232.5M</t>
  </si>
  <si>
    <t>296.3M</t>
  </si>
  <si>
    <t>286.0M</t>
  </si>
  <si>
    <t>268.1M</t>
  </si>
  <si>
    <t>233.2M</t>
  </si>
  <si>
    <t>137.1M</t>
  </si>
  <si>
    <t>72.6M</t>
  </si>
  <si>
    <t>10.0M</t>
  </si>
  <si>
    <t>8.5M</t>
  </si>
  <si>
    <t>96.8M</t>
  </si>
  <si>
    <t>40.2M</t>
  </si>
  <si>
    <t>12.3M</t>
  </si>
  <si>
    <t>23.5M</t>
  </si>
  <si>
    <t>16.3M</t>
  </si>
  <si>
    <t>1.72B</t>
  </si>
  <si>
    <t>518M</t>
  </si>
  <si>
    <t>503M</t>
  </si>
  <si>
    <t>1.13B</t>
  </si>
  <si>
    <t>537M</t>
  </si>
  <si>
    <t>481M</t>
  </si>
  <si>
    <t>1.1B</t>
  </si>
  <si>
    <t>440M</t>
  </si>
  <si>
    <t>356M</t>
  </si>
  <si>
    <t>67.2M</t>
  </si>
  <si>
    <t>57.4M</t>
  </si>
  <si>
    <t>53.5M</t>
  </si>
  <si>
    <t>101M</t>
  </si>
  <si>
    <t>50.8M</t>
  </si>
  <si>
    <t>216M</t>
  </si>
  <si>
    <t>73.8M</t>
  </si>
  <si>
    <t>13.5M</t>
  </si>
  <si>
    <t>31.7M</t>
  </si>
  <si>
    <t>1.9M</t>
  </si>
  <si>
    <t>16.2M</t>
  </si>
  <si>
    <t>654k</t>
  </si>
  <si>
    <t>76.8M</t>
  </si>
  <si>
    <t>735.4M</t>
  </si>
  <si>
    <t>315.0M</t>
  </si>
  <si>
    <t>827.3M</t>
  </si>
  <si>
    <t>238.3M</t>
  </si>
  <si>
    <t>1.3B</t>
  </si>
  <si>
    <t>781.7M</t>
  </si>
  <si>
    <t>246.7M</t>
  </si>
  <si>
    <t>6.66M</t>
  </si>
  <si>
    <t>3.62M</t>
  </si>
  <si>
    <t>4.95M</t>
  </si>
  <si>
    <t>4.16M</t>
  </si>
  <si>
    <t>5.05M</t>
  </si>
  <si>
    <t>4.17M</t>
  </si>
  <si>
    <t>78.8M</t>
  </si>
  <si>
    <t>41.2M</t>
  </si>
  <si>
    <t>4.53M</t>
  </si>
  <si>
    <t>49.2M</t>
  </si>
  <si>
    <t>9.26M</t>
  </si>
  <si>
    <t>71.2M</t>
  </si>
  <si>
    <t>55.1M</t>
  </si>
  <si>
    <t>7.41M</t>
  </si>
  <si>
    <t>20M</t>
  </si>
  <si>
    <t>4.15M</t>
  </si>
  <si>
    <t>3.25M</t>
  </si>
  <si>
    <t>5.87M</t>
  </si>
  <si>
    <t>3.43M</t>
  </si>
  <si>
    <t>34.5M</t>
  </si>
  <si>
    <t>2.91M</t>
  </si>
  <si>
    <t>533.4M</t>
  </si>
  <si>
    <t>273.0M</t>
  </si>
  <si>
    <t>75.5M</t>
  </si>
  <si>
    <t>617.3M</t>
  </si>
  <si>
    <t>114.9M</t>
  </si>
  <si>
    <t>271.7M</t>
  </si>
  <si>
    <t>247.8M</t>
  </si>
  <si>
    <t>40.8M</t>
  </si>
  <si>
    <t>407.6M</t>
  </si>
  <si>
    <t>80.5M</t>
  </si>
  <si>
    <t>447.4M</t>
  </si>
  <si>
    <t>108.1M</t>
  </si>
  <si>
    <t>447.2M</t>
  </si>
  <si>
    <t>70.6M</t>
  </si>
  <si>
    <t>53.8M</t>
  </si>
  <si>
    <t>10.5M</t>
  </si>
  <si>
    <t>30.2M</t>
  </si>
  <si>
    <t>54.3M</t>
  </si>
  <si>
    <t>13.1M</t>
  </si>
  <si>
    <t>2.2M</t>
  </si>
  <si>
    <t>176K</t>
  </si>
  <si>
    <t>472K</t>
  </si>
  <si>
    <t>242K</t>
  </si>
  <si>
    <t>173K</t>
  </si>
  <si>
    <t>15.4M</t>
  </si>
  <si>
    <t>7.9M</t>
  </si>
  <si>
    <t>703K</t>
  </si>
  <si>
    <t>258M</t>
  </si>
  <si>
    <t>64.3M</t>
  </si>
  <si>
    <t>290M</t>
  </si>
  <si>
    <t>82.5M</t>
  </si>
  <si>
    <t>302M</t>
  </si>
  <si>
    <t>450.9M</t>
  </si>
  <si>
    <t>431.6M</t>
  </si>
  <si>
    <t>855.9M</t>
  </si>
  <si>
    <t>454.4M</t>
  </si>
  <si>
    <t>320.7M</t>
  </si>
  <si>
    <t>419.0M</t>
  </si>
  <si>
    <t>403.8M</t>
  </si>
  <si>
    <t>188.6M</t>
  </si>
  <si>
    <t>150.5M</t>
  </si>
  <si>
    <t>94.8M</t>
  </si>
  <si>
    <t>144.8M</t>
  </si>
  <si>
    <t>92.9M</t>
  </si>
  <si>
    <t>84.0M</t>
  </si>
  <si>
    <t>154.1M</t>
  </si>
  <si>
    <t>149.7M</t>
  </si>
  <si>
    <t>135.6M</t>
  </si>
  <si>
    <t>43.9M</t>
  </si>
  <si>
    <t>39.5M</t>
  </si>
  <si>
    <t>47.3M</t>
  </si>
  <si>
    <t>31.0M</t>
  </si>
  <si>
    <t>28.7M</t>
  </si>
  <si>
    <t>52.7M</t>
  </si>
  <si>
    <t>9.6M</t>
  </si>
  <si>
    <t>11.5M</t>
  </si>
  <si>
    <t>3.4M</t>
  </si>
  <si>
    <t>787M</t>
  </si>
  <si>
    <t>409M</t>
  </si>
  <si>
    <t>234M</t>
  </si>
  <si>
    <t>488M</t>
  </si>
  <si>
    <t>763M</t>
  </si>
  <si>
    <t>363M</t>
  </si>
  <si>
    <t>101.3M</t>
  </si>
  <si>
    <t>92.6M</t>
  </si>
  <si>
    <t>62.9M</t>
  </si>
  <si>
    <t>104.2M</t>
  </si>
  <si>
    <t>80.6M</t>
  </si>
  <si>
    <t>49.0M</t>
  </si>
  <si>
    <t>89.3M</t>
  </si>
  <si>
    <t>28.6M</t>
  </si>
  <si>
    <t>8.1M</t>
  </si>
  <si>
    <t>324K</t>
  </si>
  <si>
    <t>11.4M</t>
  </si>
  <si>
    <t>5.8M</t>
  </si>
  <si>
    <t>533K</t>
  </si>
  <si>
    <t>10.1M</t>
  </si>
  <si>
    <t>5.5M</t>
  </si>
  <si>
    <t>255K</t>
  </si>
  <si>
    <t>150M</t>
  </si>
  <si>
    <t>162M</t>
  </si>
  <si>
    <t>284M</t>
  </si>
  <si>
    <t>297M</t>
  </si>
  <si>
    <t>8.74M</t>
  </si>
  <si>
    <t>325M</t>
  </si>
  <si>
    <t>251M</t>
  </si>
  <si>
    <t>10.4M</t>
  </si>
  <si>
    <t>308M</t>
  </si>
  <si>
    <t>280M</t>
  </si>
  <si>
    <t>17.9M</t>
  </si>
  <si>
    <t>43.4M</t>
  </si>
  <si>
    <t>10.2M</t>
  </si>
  <si>
    <t>50.1M</t>
  </si>
  <si>
    <t>12.1M</t>
  </si>
  <si>
    <t>3.07M</t>
  </si>
  <si>
    <t>37.4M</t>
  </si>
  <si>
    <t>279M</t>
  </si>
  <si>
    <t>39.6M</t>
  </si>
  <si>
    <t>21.4M</t>
  </si>
  <si>
    <t>74.7M</t>
  </si>
  <si>
    <t>761.4M</t>
  </si>
  <si>
    <t>759.7M</t>
  </si>
  <si>
    <t>809.9M</t>
  </si>
  <si>
    <t>809.2M</t>
  </si>
  <si>
    <t>743.4M</t>
  </si>
  <si>
    <t>791.1M</t>
  </si>
  <si>
    <t>617.9M</t>
  </si>
  <si>
    <t>9.75M</t>
  </si>
  <si>
    <t>2.1M</t>
  </si>
  <si>
    <t>1.99M</t>
  </si>
  <si>
    <t>2.98M</t>
  </si>
  <si>
    <t>1.91M</t>
  </si>
  <si>
    <t>27.7M</t>
  </si>
  <si>
    <t>2.64M</t>
  </si>
  <si>
    <t>2.61M</t>
  </si>
  <si>
    <t>486M</t>
  </si>
  <si>
    <t>239M</t>
  </si>
  <si>
    <t>425M</t>
  </si>
  <si>
    <t>398M</t>
  </si>
  <si>
    <t>709M</t>
  </si>
  <si>
    <t>693M</t>
  </si>
  <si>
    <t>437M</t>
  </si>
  <si>
    <t>76.4M</t>
  </si>
  <si>
    <t>50.2M</t>
  </si>
  <si>
    <t>45.2M</t>
  </si>
  <si>
    <t>65.0M</t>
  </si>
  <si>
    <t>56.7M</t>
  </si>
  <si>
    <t>23.4M</t>
  </si>
  <si>
    <t>81.8M</t>
  </si>
  <si>
    <t>722M</t>
  </si>
  <si>
    <t>293M</t>
  </si>
  <si>
    <t>813M</t>
  </si>
  <si>
    <t>288M</t>
  </si>
  <si>
    <t>927M</t>
  </si>
  <si>
    <t>725M</t>
  </si>
  <si>
    <t>955M</t>
  </si>
  <si>
    <t>72.5M</t>
  </si>
  <si>
    <t>990M</t>
  </si>
  <si>
    <t>389M</t>
  </si>
  <si>
    <t>367M</t>
  </si>
  <si>
    <t>291M</t>
  </si>
  <si>
    <t>343M</t>
  </si>
  <si>
    <t>274M</t>
  </si>
  <si>
    <t>352M</t>
  </si>
  <si>
    <t>66.4M</t>
  </si>
  <si>
    <t>56.4M</t>
  </si>
  <si>
    <t>51.3M</t>
  </si>
  <si>
    <t>137.8M</t>
  </si>
  <si>
    <t>94.1M</t>
  </si>
  <si>
    <t>74.5M</t>
  </si>
  <si>
    <t>120M</t>
  </si>
  <si>
    <t>94.6M</t>
  </si>
  <si>
    <t>87.3M</t>
  </si>
  <si>
    <t>45.8M</t>
  </si>
  <si>
    <t>30.7M</t>
  </si>
  <si>
    <t>Top 1 Export Value2</t>
  </si>
  <si>
    <t>0.563M</t>
  </si>
  <si>
    <t>0.214M</t>
  </si>
  <si>
    <t>0.0627M</t>
  </si>
  <si>
    <t>0.068M</t>
  </si>
  <si>
    <t>Top 2 Export Value2</t>
  </si>
  <si>
    <t xml:space="preserve">Top 3 Export Value  </t>
  </si>
  <si>
    <t>Source Country</t>
  </si>
  <si>
    <t>Destination Country(Top)</t>
  </si>
  <si>
    <t>Destination Country(Top Country Exported to)</t>
  </si>
  <si>
    <t xml:space="preserve">Destination Country(Top Country Exported to)  </t>
  </si>
  <si>
    <t xml:space="preserve">Destination Country(Top Country Exported to)    </t>
  </si>
  <si>
    <t>Sum of Value(USD)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</si>
</sst>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43" fontId="0" fillId="0" borderId="0" xfId="1" applyFon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4" fontId="0" fillId="0" borderId="0" xfId="0" applyNumberFormat="1" applyAlignment="1">
      <alignment horizontal="center"/>
    </xf>
    <xf numFmtId="0" fontId="0" fillId="0" borderId="0" xfId="0" applyAlignment="1">
      <alignment horizontal="center"/>
    </xf>
    <xf numFmtId="0" fontId="0" fillId="2" borderId="0" xfId="0" applyFill="1"/>
    <xf numFmtId="0" fontId="1" fillId="2" borderId="1" xfId="0" applyFont="1" applyFill="1" applyBorder="1" applyAlignment="1">
      <alignment horizontal="center" vertical="top"/>
    </xf>
    <xf numFmtId="0" fontId="0" fillId="2" borderId="0" xfId="0" applyFill="1" applyAlignment="1">
      <alignment horizontal="center"/>
    </xf>
    <xf numFmtId="43" fontId="1" fillId="0" borderId="1" xfId="1" applyFont="1" applyBorder="1" applyAlignment="1">
      <alignment horizontal="center" vertical="top"/>
    </xf>
    <xf numFmtId="0" fontId="0" fillId="0" borderId="0" xfId="0" applyNumberFormat="1"/>
  </cellXfs>
  <cellStyles count="2">
    <cellStyle name="Comma" xfId="1" builtinId="3"/>
    <cellStyle name="Normal" xfId="0" builtinId="0"/>
  </cellStyles>
  <dxfs count="33">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0"/>
        </patternFill>
      </fill>
    </dxf>
    <dxf>
      <numFmt numFmtId="0" formatCode="General"/>
      <fill>
        <patternFill patternType="solid">
          <fgColor indexed="64"/>
          <bgColor theme="0"/>
        </patternFill>
      </fill>
      <alignment horizontal="center"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alignment horizontal="center"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alignment horizontal="center"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top style="thin">
          <color auto="1"/>
        </top>
      </border>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0.00"/>
      <alignment horizontal="center" textRotation="0" wrapText="0" indent="0" justifyLastLine="0" shrinkToFit="0" readingOrder="0"/>
    </dxf>
    <dxf>
      <numFmt numFmtId="164" formatCode="&quot;$&quot;#,##0.00"/>
      <alignment horizontal="center" textRotation="0" wrapText="0" indent="0" justifyLastLine="0" shrinkToFit="0" readingOrder="0"/>
    </dxf>
    <dxf>
      <numFmt numFmtId="164" formatCode="&quot;$&quot;#,##0.00"/>
      <alignment horizontal="center" textRotation="0" wrapText="0" indent="0" justifyLastLine="0" shrinkToFit="0" readingOrder="0"/>
    </dxf>
    <dxf>
      <numFmt numFmtId="164" formatCode="&quot;$&quot;#,##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 Food Import Map.xlsx]Import Dashboard!PivotTable3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 Import Data</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'Import Dashboard'!$B$3:$B$4</c:f>
              <c:strCache>
                <c:ptCount val="1"/>
                <c:pt idx="0">
                  <c:v>Palm oil</c:v>
                </c:pt>
              </c:strCache>
            </c:strRef>
          </c:tx>
          <c:spPr>
            <a:solidFill>
              <a:schemeClr val="accent1"/>
            </a:solidFill>
            <a:ln>
              <a:noFill/>
            </a:ln>
            <a:effectLst/>
          </c:spPr>
          <c:invertIfNegative val="0"/>
          <c:cat>
            <c:strRef>
              <c:f>'Import Dashboard'!$A$5:$A$8</c:f>
              <c:strCache>
                <c:ptCount val="3"/>
                <c:pt idx="0">
                  <c:v>2021</c:v>
                </c:pt>
                <c:pt idx="1">
                  <c:v>2022</c:v>
                </c:pt>
                <c:pt idx="2">
                  <c:v>2023</c:v>
                </c:pt>
              </c:strCache>
            </c:strRef>
          </c:cat>
          <c:val>
            <c:numRef>
              <c:f>'Import Dashboard'!$B$5:$B$8</c:f>
              <c:numCache>
                <c:formatCode>General</c:formatCode>
                <c:ptCount val="3"/>
                <c:pt idx="0">
                  <c:v>950000000</c:v>
                </c:pt>
                <c:pt idx="1">
                  <c:v>1070000000</c:v>
                </c:pt>
                <c:pt idx="2">
                  <c:v>846000000</c:v>
                </c:pt>
              </c:numCache>
            </c:numRef>
          </c:val>
          <c:extLst>
            <c:ext xmlns:c16="http://schemas.microsoft.com/office/drawing/2014/chart" uri="{C3380CC4-5D6E-409C-BE32-E72D297353CC}">
              <c16:uniqueId val="{00000000-3DCE-42D8-9B92-0F1BDEFD6B3C}"/>
            </c:ext>
          </c:extLst>
        </c:ser>
        <c:ser>
          <c:idx val="1"/>
          <c:order val="1"/>
          <c:tx>
            <c:strRef>
              <c:f>'Import Dashboard'!$C$3:$C$4</c:f>
              <c:strCache>
                <c:ptCount val="1"/>
                <c:pt idx="0">
                  <c:v>Rice</c:v>
                </c:pt>
              </c:strCache>
            </c:strRef>
          </c:tx>
          <c:spPr>
            <a:solidFill>
              <a:schemeClr val="accent2"/>
            </a:solidFill>
            <a:ln>
              <a:noFill/>
            </a:ln>
            <a:effectLst/>
          </c:spPr>
          <c:invertIfNegative val="0"/>
          <c:cat>
            <c:strRef>
              <c:f>'Import Dashboard'!$A$5:$A$8</c:f>
              <c:strCache>
                <c:ptCount val="3"/>
                <c:pt idx="0">
                  <c:v>2021</c:v>
                </c:pt>
                <c:pt idx="1">
                  <c:v>2022</c:v>
                </c:pt>
                <c:pt idx="2">
                  <c:v>2023</c:v>
                </c:pt>
              </c:strCache>
            </c:strRef>
          </c:cat>
          <c:val>
            <c:numRef>
              <c:f>'Import Dashboard'!$C$5:$C$8</c:f>
              <c:numCache>
                <c:formatCode>General</c:formatCode>
                <c:ptCount val="3"/>
                <c:pt idx="0">
                  <c:v>276000000</c:v>
                </c:pt>
              </c:numCache>
            </c:numRef>
          </c:val>
          <c:extLst>
            <c:ext xmlns:c16="http://schemas.microsoft.com/office/drawing/2014/chart" uri="{C3380CC4-5D6E-409C-BE32-E72D297353CC}">
              <c16:uniqueId val="{00000001-3DCE-42D8-9B92-0F1BDEFD6B3C}"/>
            </c:ext>
          </c:extLst>
        </c:ser>
        <c:ser>
          <c:idx val="2"/>
          <c:order val="2"/>
          <c:tx>
            <c:strRef>
              <c:f>'Import Dashboard'!$D$3:$D$4</c:f>
              <c:strCache>
                <c:ptCount val="1"/>
                <c:pt idx="0">
                  <c:v>Sugar</c:v>
                </c:pt>
              </c:strCache>
            </c:strRef>
          </c:tx>
          <c:spPr>
            <a:solidFill>
              <a:schemeClr val="accent3"/>
            </a:solidFill>
            <a:ln>
              <a:noFill/>
            </a:ln>
            <a:effectLst/>
          </c:spPr>
          <c:invertIfNegative val="0"/>
          <c:cat>
            <c:strRef>
              <c:f>'Import Dashboard'!$A$5:$A$8</c:f>
              <c:strCache>
                <c:ptCount val="3"/>
                <c:pt idx="0">
                  <c:v>2021</c:v>
                </c:pt>
                <c:pt idx="1">
                  <c:v>2022</c:v>
                </c:pt>
                <c:pt idx="2">
                  <c:v>2023</c:v>
                </c:pt>
              </c:strCache>
            </c:strRef>
          </c:cat>
          <c:val>
            <c:numRef>
              <c:f>'Import Dashboard'!$D$5:$D$8</c:f>
              <c:numCache>
                <c:formatCode>General</c:formatCode>
                <c:ptCount val="3"/>
                <c:pt idx="1">
                  <c:v>238000000</c:v>
                </c:pt>
                <c:pt idx="2">
                  <c:v>401000000</c:v>
                </c:pt>
              </c:numCache>
            </c:numRef>
          </c:val>
          <c:extLst>
            <c:ext xmlns:c16="http://schemas.microsoft.com/office/drawing/2014/chart" uri="{C3380CC4-5D6E-409C-BE32-E72D297353CC}">
              <c16:uniqueId val="{00000002-3DCE-42D8-9B92-0F1BDEFD6B3C}"/>
            </c:ext>
          </c:extLst>
        </c:ser>
        <c:ser>
          <c:idx val="3"/>
          <c:order val="3"/>
          <c:tx>
            <c:strRef>
              <c:f>'Import Dashboard'!$E$3:$E$4</c:f>
              <c:strCache>
                <c:ptCount val="1"/>
                <c:pt idx="0">
                  <c:v>Wheat</c:v>
                </c:pt>
              </c:strCache>
            </c:strRef>
          </c:tx>
          <c:spPr>
            <a:solidFill>
              <a:schemeClr val="accent4"/>
            </a:solidFill>
            <a:ln>
              <a:noFill/>
            </a:ln>
            <a:effectLst/>
          </c:spPr>
          <c:invertIfNegative val="0"/>
          <c:cat>
            <c:strRef>
              <c:f>'Import Dashboard'!$A$5:$A$8</c:f>
              <c:strCache>
                <c:ptCount val="3"/>
                <c:pt idx="0">
                  <c:v>2021</c:v>
                </c:pt>
                <c:pt idx="1">
                  <c:v>2022</c:v>
                </c:pt>
                <c:pt idx="2">
                  <c:v>2023</c:v>
                </c:pt>
              </c:strCache>
            </c:strRef>
          </c:cat>
          <c:val>
            <c:numRef>
              <c:f>'Import Dashboard'!$E$5:$E$8</c:f>
              <c:numCache>
                <c:formatCode>General</c:formatCode>
                <c:ptCount val="3"/>
                <c:pt idx="0">
                  <c:v>502000000</c:v>
                </c:pt>
                <c:pt idx="1">
                  <c:v>578000000</c:v>
                </c:pt>
                <c:pt idx="2">
                  <c:v>654000000</c:v>
                </c:pt>
              </c:numCache>
            </c:numRef>
          </c:val>
          <c:extLst>
            <c:ext xmlns:c16="http://schemas.microsoft.com/office/drawing/2014/chart" uri="{C3380CC4-5D6E-409C-BE32-E72D297353CC}">
              <c16:uniqueId val="{00000001-B3FF-46F7-BDAE-E6F057EC80D2}"/>
            </c:ext>
          </c:extLst>
        </c:ser>
        <c:dLbls>
          <c:showLegendKey val="0"/>
          <c:showVal val="0"/>
          <c:showCatName val="0"/>
          <c:showSerName val="0"/>
          <c:showPercent val="0"/>
          <c:showBubbleSize val="0"/>
        </c:dLbls>
        <c:gapWidth val="219"/>
        <c:overlap val="-27"/>
        <c:axId val="860930159"/>
        <c:axId val="860942159"/>
      </c:barChart>
      <c:catAx>
        <c:axId val="8609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42159"/>
        <c:crosses val="autoZero"/>
        <c:auto val="1"/>
        <c:lblAlgn val="ctr"/>
        <c:lblOffset val="100"/>
        <c:noMultiLvlLbl val="0"/>
      </c:catAx>
      <c:valAx>
        <c:axId val="86094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[Africa Food Import Map.xlsx]Export Dashboard!PivotTable4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 Export Data</a:t>
            </a:r>
          </a:p>
        </c:rich>
      </c:tx>
      <c:layout>
        <c:manualLayout>
          <c:xMode val="edge"/>
          <c:yMode val="edge"/>
          <c:x val="0.4122174663581476"/>
          <c:y val="1.1534611304516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'Export Dashboard'!$B$3:$B$4</c:f>
              <c:strCache>
                <c:ptCount val="1"/>
                <c:pt idx="0">
                  <c:v>Citrus</c:v>
                </c:pt>
              </c:strCache>
            </c:strRef>
          </c:tx>
          <c:spPr>
            <a:solidFill>
              <a:schemeClr val="accent1"/>
            </a:solidFill>
            <a:ln>
              <a:noFill/>
            </a:ln>
            <a:effectLst/>
          </c:spPr>
          <c:invertIfNegative val="0"/>
          <c:cat>
            <c:strRef>
              <c:f>'Export Dashboard'!$A$5:$A$8</c:f>
              <c:strCache>
                <c:ptCount val="3"/>
                <c:pt idx="0">
                  <c:v>2021</c:v>
                </c:pt>
                <c:pt idx="1">
                  <c:v>2022</c:v>
                </c:pt>
                <c:pt idx="2">
                  <c:v>2023</c:v>
                </c:pt>
              </c:strCache>
            </c:strRef>
          </c:cat>
          <c:val>
            <c:numRef>
              <c:f>'Export Dashboard'!$B$5:$B$8</c:f>
              <c:numCache>
                <c:formatCode>General</c:formatCode>
                <c:ptCount val="3"/>
                <c:pt idx="0">
                  <c:v>45600000</c:v>
                </c:pt>
                <c:pt idx="1">
                  <c:v>44600000</c:v>
                </c:pt>
                <c:pt idx="2">
                  <c:v>45800000</c:v>
                </c:pt>
              </c:numCache>
            </c:numRef>
          </c:val>
          <c:extLst>
            <c:ext xmlns:c16="http://schemas.microsoft.com/office/drawing/2014/chart" uri="{C3380CC4-5D6E-409C-BE32-E72D297353CC}">
              <c16:uniqueId val="{00000000-343B-4A91-9104-A3DDF67263AD}"/>
            </c:ext>
          </c:extLst>
        </c:ser>
        <c:ser>
          <c:idx val="1"/>
          <c:order val="1"/>
          <c:tx>
            <c:strRef>
              <c:f>'Export Dashboard'!$C$3:$C$4</c:f>
              <c:strCache>
                <c:ptCount val="1"/>
                <c:pt idx="0">
                  <c:v>Cotton</c:v>
                </c:pt>
              </c:strCache>
            </c:strRef>
          </c:tx>
          <c:spPr>
            <a:solidFill>
              <a:schemeClr val="accent2"/>
            </a:solidFill>
            <a:ln>
              <a:noFill/>
            </a:ln>
            <a:effectLst/>
          </c:spPr>
          <c:invertIfNegative val="0"/>
          <c:cat>
            <c:strRef>
              <c:f>'Export Dashboard'!$A$5:$A$8</c:f>
              <c:strCache>
                <c:ptCount val="3"/>
                <c:pt idx="0">
                  <c:v>2021</c:v>
                </c:pt>
                <c:pt idx="1">
                  <c:v>2022</c:v>
                </c:pt>
                <c:pt idx="2">
                  <c:v>2023</c:v>
                </c:pt>
              </c:strCache>
            </c:strRef>
          </c:cat>
          <c:val>
            <c:numRef>
              <c:f>'Export Dashboard'!$C$5:$C$8</c:f>
              <c:numCache>
                <c:formatCode>General</c:formatCode>
                <c:ptCount val="3"/>
                <c:pt idx="0">
                  <c:v>50800000</c:v>
                </c:pt>
                <c:pt idx="1">
                  <c:v>115000000</c:v>
                </c:pt>
              </c:numCache>
            </c:numRef>
          </c:val>
          <c:extLst>
            <c:ext xmlns:c16="http://schemas.microsoft.com/office/drawing/2014/chart" uri="{C3380CC4-5D6E-409C-BE32-E72D297353CC}">
              <c16:uniqueId val="{00000001-343B-4A91-9104-A3DDF67263AD}"/>
            </c:ext>
          </c:extLst>
        </c:ser>
        <c:ser>
          <c:idx val="2"/>
          <c:order val="2"/>
          <c:tx>
            <c:strRef>
              <c:f>'Export Dashboard'!$D$3:$D$4</c:f>
              <c:strCache>
                <c:ptCount val="1"/>
                <c:pt idx="0">
                  <c:v>Other Fruits</c:v>
                </c:pt>
              </c:strCache>
            </c:strRef>
          </c:tx>
          <c:spPr>
            <a:solidFill>
              <a:schemeClr val="accent3"/>
            </a:solidFill>
            <a:ln>
              <a:noFill/>
            </a:ln>
            <a:effectLst/>
          </c:spPr>
          <c:invertIfNegative val="0"/>
          <c:cat>
            <c:strRef>
              <c:f>'Export Dashboard'!$A$5:$A$8</c:f>
              <c:strCache>
                <c:ptCount val="3"/>
                <c:pt idx="0">
                  <c:v>2021</c:v>
                </c:pt>
                <c:pt idx="1">
                  <c:v>2022</c:v>
                </c:pt>
                <c:pt idx="2">
                  <c:v>2023</c:v>
                </c:pt>
              </c:strCache>
            </c:strRef>
          </c:cat>
          <c:val>
            <c:numRef>
              <c:f>'Export Dashboard'!$D$5:$D$8</c:f>
              <c:numCache>
                <c:formatCode>General</c:formatCode>
                <c:ptCount val="3"/>
                <c:pt idx="2">
                  <c:v>30700000</c:v>
                </c:pt>
              </c:numCache>
            </c:numRef>
          </c:val>
          <c:extLst>
            <c:ext xmlns:c16="http://schemas.microsoft.com/office/drawing/2014/chart" uri="{C3380CC4-5D6E-409C-BE32-E72D297353CC}">
              <c16:uniqueId val="{00000002-343B-4A91-9104-A3DDF67263AD}"/>
            </c:ext>
          </c:extLst>
        </c:ser>
        <c:ser>
          <c:idx val="3"/>
          <c:order val="3"/>
          <c:tx>
            <c:strRef>
              <c:f>'Export Dashboard'!$E$3:$E$4</c:f>
              <c:strCache>
                <c:ptCount val="1"/>
                <c:pt idx="0">
                  <c:v>Sugar</c:v>
                </c:pt>
              </c:strCache>
            </c:strRef>
          </c:tx>
          <c:spPr>
            <a:solidFill>
              <a:schemeClr val="accent4"/>
            </a:solidFill>
            <a:ln>
              <a:noFill/>
            </a:ln>
            <a:effectLst/>
          </c:spPr>
          <c:invertIfNegative val="0"/>
          <c:cat>
            <c:strRef>
              <c:f>'Export Dashboard'!$A$5:$A$8</c:f>
              <c:strCache>
                <c:ptCount val="3"/>
                <c:pt idx="0">
                  <c:v>2021</c:v>
                </c:pt>
                <c:pt idx="1">
                  <c:v>2022</c:v>
                </c:pt>
                <c:pt idx="2">
                  <c:v>2023</c:v>
                </c:pt>
              </c:strCache>
            </c:strRef>
          </c:cat>
          <c:val>
            <c:numRef>
              <c:f>'Export Dashboard'!$E$5:$E$8</c:f>
              <c:numCache>
                <c:formatCode>General</c:formatCode>
                <c:ptCount val="3"/>
                <c:pt idx="0">
                  <c:v>36200000</c:v>
                </c:pt>
                <c:pt idx="1">
                  <c:v>40300000</c:v>
                </c:pt>
                <c:pt idx="2">
                  <c:v>87300000</c:v>
                </c:pt>
              </c:numCache>
            </c:numRef>
          </c:val>
          <c:extLst>
            <c:ext xmlns:c16="http://schemas.microsoft.com/office/drawing/2014/chart" uri="{C3380CC4-5D6E-409C-BE32-E72D297353CC}">
              <c16:uniqueId val="{00000003-319C-4557-90F0-617DBB22E1D7}"/>
            </c:ext>
          </c:extLst>
        </c:ser>
        <c:dLbls>
          <c:showLegendKey val="0"/>
          <c:showVal val="0"/>
          <c:showCatName val="0"/>
          <c:showSerName val="0"/>
          <c:showPercent val="0"/>
          <c:showBubbleSize val="0"/>
        </c:dLbls>
        <c:gapWidth val="219"/>
        <c:overlap val="-27"/>
        <c:axId val="849214943"/>
        <c:axId val="849212063"/>
      </c:barChart>
      <c:catAx>
        <c:axId val="84921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12063"/>
        <c:crosses val="autoZero"/>
        <c:auto val="1"/>
        <c:lblAlgn val="ctr"/>
        <c:lblOffset val="100"/>
        <c:noMultiLvlLbl val="0"/>
      </c:catAx>
      <c:valAx>
        <c:axId val="84921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1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9</xdr:row>
      <xdr:rowOff>90486</xdr:rowOff>
    </xdr:from>
    <xdr:to>
      <xdr:col>9</xdr:col>
      <xdr:colOff>523875</xdr:colOff>
      <xdr:row>34</xdr:row>
      <xdr:rowOff>76199</xdr:rowOff>
    </xdr:to>
    <xdr:graphicFrame macro="">
      <xdr:nvGraphicFramePr>
        <xdr:cNvPr id="2" name="Chart 1">
          <a:extLst>
            <a:ext uri="{FF2B5EF4-FFF2-40B4-BE49-F238E27FC236}">
              <a16:creationId xmlns:a16="http://schemas.microsoft.com/office/drawing/2014/main" id="{60992AE5-7C4D-9A97-A9C5-05C040821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819150</xdr:colOff>
      <xdr:row>9</xdr:row>
      <xdr:rowOff>114300</xdr:rowOff>
    </xdr:from>
    <xdr:to>
      <xdr:col>10</xdr:col>
      <xdr:colOff>586740</xdr:colOff>
      <xdr:row>34</xdr:row>
      <xdr:rowOff>95250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18AA6B9E-C6BC-ECD9-5D90-FD1CE40495E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01075" y="1828800"/>
              <a:ext cx="1828800" cy="474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165681</xdr:colOff>
      <xdr:row>3</xdr:row>
      <xdr:rowOff>64835</xdr:rowOff>
    </xdr:from>
    <xdr:ext cx="5739819" cy="530658"/>
    <xdr:sp macro="" textlink="">
      <xdr:nvSpPr>
        <xdr:cNvPr id="4" name="TextBox 3">
          <a:extLst>
            <a:ext uri="{FF2B5EF4-FFF2-40B4-BE49-F238E27FC236}">
              <a16:creationId xmlns:a16="http://schemas.microsoft.com/office/drawing/2014/main" id="{494FB0A9-064F-82D4-2512-E3BF54F88428}"/>
            </a:ext>
          </a:extLst>
        </xdr:cNvPr>
        <xdr:cNvSpPr txBox="1"/>
      </xdr:nvSpPr>
      <xdr:spPr>
        <a:xfrm rot="10800000" flipH="1" flipV="1">
          <a:off x="4947231" y="636335"/>
          <a:ext cx="573981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a:t>AFRICA</a:t>
          </a:r>
          <a:r>
            <a:rPr lang="en-US" sz="2800" baseline="0"/>
            <a:t> FOOD IMPORT DASHBOARD</a:t>
          </a:r>
          <a:endParaRPr lang="en-US" sz="28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285749</xdr:colOff>
      <xdr:row>8</xdr:row>
      <xdr:rowOff>76199</xdr:rowOff>
    </xdr:from>
    <xdr:to>
      <xdr:col>9</xdr:col>
      <xdr:colOff>466724</xdr:colOff>
      <xdr:row>34</xdr:row>
      <xdr:rowOff>142874</xdr:rowOff>
    </xdr:to>
    <xdr:graphicFrame macro="">
      <xdr:nvGraphicFramePr>
        <xdr:cNvPr id="5" name="Chart 4">
          <a:extLst>
            <a:ext uri="{FF2B5EF4-FFF2-40B4-BE49-F238E27FC236}">
              <a16:creationId xmlns:a16="http://schemas.microsoft.com/office/drawing/2014/main" id="{91FBA4F5-C1F9-462C-8D8F-20FEDD412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638175</xdr:colOff>
      <xdr:row>8</xdr:row>
      <xdr:rowOff>85725</xdr:rowOff>
    </xdr:from>
    <xdr:to>
      <xdr:col>11</xdr:col>
      <xdr:colOff>342900</xdr:colOff>
      <xdr:row>34</xdr:row>
      <xdr:rowOff>152400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61654B63-20F3-4DC9-B46D-BEE0DEFC77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05925" y="1609725"/>
              <a:ext cx="1828800" cy="501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85724</xdr:colOff>
      <xdr:row>3</xdr:row>
      <xdr:rowOff>76200</xdr:rowOff>
    </xdr:from>
    <xdr:ext cx="8620125" cy="593304"/>
    <xdr:sp macro="" textlink="">
      <xdr:nvSpPr>
        <xdr:cNvPr id="7" name="TextBox 6">
          <a:extLst>
            <a:ext uri="{FF2B5EF4-FFF2-40B4-BE49-F238E27FC236}">
              <a16:creationId xmlns:a16="http://schemas.microsoft.com/office/drawing/2014/main" id="{4ADD1C5A-F294-5A1F-74AB-478DB566FFD7}"/>
            </a:ext>
          </a:extLst>
        </xdr:cNvPr>
        <xdr:cNvSpPr txBox="1"/>
      </xdr:nvSpPr>
      <xdr:spPr>
        <a:xfrm>
          <a:off x="5591174" y="647700"/>
          <a:ext cx="862012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AFRICA FOOD EXPORT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rtey, Lord" refreshedDate="45758.687202777779" createdVersion="8" refreshedVersion="8" minRefreshableVersion="3" recordCount="487" xr:uid="{B07D6570-B566-41D3-BDF7-EAF49777B426}">
  <cacheSource type="worksheet">
    <worksheetSource ref="A1:F1048576" sheet="Cleaned Imports"/>
  </cacheSource>
  <cacheFields count="6">
    <cacheField name="Country" numFmtId="0">
      <sharedItems containsBlank="1" count="56">
        <s v="Algeria"/>
        <s v="Algeria "/>
        <s v="Angola"/>
        <s v="Benin"/>
        <s v="Botswana"/>
        <s v="Burkina Faso"/>
        <s v="Burundi"/>
        <s v="Cabo Verde"/>
        <s v="Cameroon"/>
        <s v="Central African Republic"/>
        <s v="Chad"/>
        <s v="Comoros"/>
        <s v="Congo"/>
        <s v="Côte d'Ivoire"/>
        <s v="Democratic Republic of the Congo"/>
        <s v="Djibouti"/>
        <s v="Egypt"/>
        <s v="Equatorial Guinea"/>
        <s v="Eritrea"/>
        <s v="Eswatini"/>
        <s v="Ethiopia"/>
        <s v="Gabon"/>
        <s v="Gambia"/>
        <s v="Ghana"/>
        <s v="Guinea"/>
        <s v="Guinea-Bissau"/>
        <s v="Kenya"/>
        <s v="Lesotho"/>
        <s v="Liberia"/>
        <s v="Libya"/>
        <s v="Madagascar"/>
        <s v="Malawi"/>
        <s v="Mali"/>
        <s v="Mauritania"/>
        <s v="Mauritius"/>
        <s v="Morocco"/>
        <s v="Mozambique"/>
        <s v="Namibia"/>
        <s v="Niger"/>
        <s v="Nigeria"/>
        <s v="Rwanda"/>
        <s v="Sao Tome and Principe"/>
        <s v="Senegal"/>
        <s v="Seychelles"/>
        <s v="Sierra Leone"/>
        <s v="Somalia"/>
        <s v="South Africa"/>
        <s v="South Sudan"/>
        <s v="Sudan"/>
        <s v="Togo"/>
        <s v="Tunisia"/>
        <s v="Uganda"/>
        <s v="United Republic of Tanzania"/>
        <s v="Zambia"/>
        <s v="Zimbabwe"/>
        <m/>
      </sharedItems>
    </cacheField>
    <cacheField name="Year" numFmtId="0">
      <sharedItems containsString="0" containsBlank="1" containsNumber="1" containsInteger="1" minValue="2021" maxValue="2023" count="4">
        <n v="2021"/>
        <n v="2022"/>
        <n v="2023"/>
        <m/>
      </sharedItems>
    </cacheField>
    <cacheField name="Product" numFmtId="0">
      <sharedItems containsBlank="1" count="56">
        <s v="Wheat"/>
        <s v="Concentrated Milk"/>
        <s v="Soybean oil"/>
        <s v="Maize"/>
        <s v="Wheat "/>
        <s v="Meat of chickens, fresh or chilled"/>
        <s v="Rice"/>
        <s v="Coconuts,Brazil nuts &amp;Cashews"/>
        <s v="Soybean"/>
        <s v="Oily Seeds"/>
        <s v="Soybean "/>
        <s v="Coconuts,Brazil Nuts &amp; Cashews"/>
        <s v="Vegetable Residues"/>
        <s v="Coconuts,Brazil nuts &amp;Cashews "/>
        <s v="Soybean Meal "/>
        <s v="Fermented Milk Products"/>
        <s v="Sugar"/>
        <s v="Flavoured Water"/>
        <s v="Flavored Water"/>
        <s v="Fish"/>
        <s v="Malt, whether or not roasted"/>
        <s v="Malt"/>
        <s v="Other Edible Preparations"/>
        <s v="Pasta"/>
        <s v="Palm oil"/>
        <s v="Wheat and meslin flour"/>
        <s v="Chicken"/>
        <s v="Oil seed"/>
        <s v="Sorghum"/>
        <s v="Seed Oils"/>
        <s v="Processed cereals"/>
        <s v="Soya bean oil"/>
        <s v="Flour of cereals n.e.c"/>
        <s v="Barley"/>
        <s v="Sugar "/>
        <s v="Cheese"/>
        <s v="Malt extract"/>
        <s v="Soups and Broth"/>
        <s v="Soups and Broths"/>
        <s v="Raw cane or beet sugar"/>
        <s v="Meat of chickens, fresh or chilled "/>
        <s v="Seed Oils "/>
        <s v="Animal Food"/>
        <s v="Wine"/>
        <s v="Olive Oil"/>
        <s v="Rice "/>
        <s v="Palm oil "/>
        <s v="Sorgum "/>
        <s v="Flours of cereal n.e.c "/>
        <s v="Flour of cereals n.e.c "/>
        <s v="Sorghum "/>
        <s v="Concentrated Milk "/>
        <s v="Wheat Flours "/>
        <s v="Barley "/>
        <s v="Beer"/>
        <m/>
      </sharedItems>
    </cacheField>
    <cacheField name="Value" numFmtId="0">
      <sharedItems containsString="0" containsBlank="1" containsNumber="1" minValue="0" maxValue="5790000000"/>
    </cacheField>
    <cacheField name="Partner Country" numFmtId="0">
      <sharedItems containsBlank="1" count="77">
        <s v="France "/>
        <s v="Argentina "/>
        <s v="Russian Federation "/>
        <s v="Canada"/>
        <s v="New Zealand"/>
        <s v="United States of America "/>
        <s v="India "/>
        <s v="China, mainland "/>
        <s v="Denmark"/>
        <s v="China"/>
        <s v="United Arab Emirates"/>
        <s v="Ghana"/>
        <s v="South Africa"/>
        <s v="Brazil "/>
        <s v="Peru"/>
        <s v="Japan "/>
        <s v="Togo"/>
        <s v="Belguim"/>
        <s v="Malawi"/>
        <s v="Tanzania"/>
        <s v="Belgium "/>
        <s v="Zambia"/>
        <s v="Netherlands"/>
        <s v="Netherlands  "/>
        <s v="Thailand "/>
        <s v="Mauritania"/>
        <s v="Poland "/>
        <s v="Thailand"/>
        <s v="Cameroon"/>
        <s v="Congo"/>
        <s v="Ireland"/>
        <s v="Germany"/>
        <s v="Türkiye "/>
        <s v="Turkey"/>
        <s v="Pakistan "/>
        <s v="Maurituis"/>
        <s v="Malaysia "/>
        <s v="Norway"/>
        <s v="Indonesia "/>
        <s v="Latvia"/>
        <s v="Senegal"/>
        <s v="Viet Nam "/>
        <s v="Chile"/>
        <s v="Vietnam"/>
        <s v="Indonesia"/>
        <s v="Malaysia"/>
        <s v="Ukraine "/>
        <s v="Oman"/>
        <s v="Australia"/>
        <s v="Djibouti"/>
        <s v="UK"/>
        <s v="Cambodia"/>
        <s v="Germany "/>
        <s v="Portugal "/>
        <s v="Egypt"/>
        <s v="India"/>
        <s v="Poland"/>
        <s v="Guinea"/>
        <s v="Ukraine"/>
        <s v="Mozmbique"/>
        <s v="Cote d'Ivoire"/>
        <s v="Brazill"/>
        <s v="Seychelles"/>
        <s v="Spain"/>
        <s v="Australia "/>
        <s v="Lithuana"/>
        <s v="Lithuania"/>
        <s v="Uganda"/>
        <s v="Tunisia"/>
        <s v="United Arab Emirates "/>
        <s v="Eswatini"/>
        <s v="Bulgaria "/>
        <s v="Romania "/>
        <s v="Namibia"/>
        <s v="Mozambique"/>
        <s v="Argentina"/>
        <m/>
      </sharedItems>
    </cacheField>
    <cacheField name="Rank" numFmtId="0">
      <sharedItems containsString="0" containsBlank="1" containsNumber="1" containsInteger="1" minValue="1" maxValue="3"/>
    </cacheField>
  </cacheFields>
  <extLst>
    <ext xmlns:x14="http://schemas.microsoft.com/office/spreadsheetml/2009/9/main" uri="{725AE2AE-9491-48be-B2B4-4EB974FC3084}">
      <x14:pivotCacheDefinition pivotCacheId="12113171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rtey, Lord" refreshedDate="45758.75609560185" createdVersion="8" refreshedVersion="8" minRefreshableVersion="3" recordCount="487" xr:uid="{ADAC5288-A363-45DC-9BF9-39945EBC1860}">
  <cacheSource type="worksheet">
    <worksheetSource ref="A1:F1048576" sheet="Cleaned Exports"/>
  </cacheSource>
  <cacheFields count="6">
    <cacheField name="Country" numFmtId="0">
      <sharedItems containsBlank="1" count="55">
        <s v="Algeria"/>
        <s v="Angola"/>
        <s v="Benin"/>
        <s v="Botswana"/>
        <s v="Burkina Faso"/>
        <s v="Burundi"/>
        <s v="Cabo Verde"/>
        <s v="Cameroon"/>
        <s v="Central African Republic"/>
        <s v="Chad"/>
        <s v="Comoros"/>
        <s v="Congo"/>
        <s v="Côte d'Ivoire"/>
        <s v="Democratic Republic of the Congo"/>
        <s v="Djibouti"/>
        <s v="Egypt"/>
        <s v="Equatorial Guinea"/>
        <s v="Eritrea"/>
        <s v="Eswatini"/>
        <s v="Ethiopia"/>
        <s v="Gabon"/>
        <s v="Gambia"/>
        <s v="Ghana"/>
        <s v="Guinea"/>
        <s v="Guinea-Bissau"/>
        <s v="Kenya"/>
        <s v="Lesotho"/>
        <s v="Liberia"/>
        <s v="Libya"/>
        <s v="Madagascar"/>
        <s v="Malawi"/>
        <s v="Mali"/>
        <s v="Mauritania"/>
        <s v="Mauritius"/>
        <s v="Morocco"/>
        <s v="Mozambique"/>
        <s v="Namibia"/>
        <s v="Niger"/>
        <s v="Nigeria"/>
        <s v="Rwanda"/>
        <s v="Sao Tome and Principe"/>
        <s v="Senegal"/>
        <s v="Seychelles"/>
        <s v="Sierra Leone"/>
        <s v="Somalia"/>
        <s v="South Africa"/>
        <s v="South Sudan"/>
        <s v="Sudan"/>
        <s v="Togo"/>
        <s v="Tunisia"/>
        <s v="Uganda"/>
        <s v="United Republic of Tanzania"/>
        <s v="Zambia"/>
        <s v="Zimbabwe"/>
        <m/>
      </sharedItems>
    </cacheField>
    <cacheField name="Year" numFmtId="0">
      <sharedItems containsString="0" containsBlank="1" containsNumber="1" containsInteger="1" minValue="2021" maxValue="2023" count="4">
        <n v="2021"/>
        <n v="2022"/>
        <n v="2023"/>
        <m/>
      </sharedItems>
    </cacheField>
    <cacheField name="Product" numFmtId="0">
      <sharedItems containsBlank="1" count="101">
        <s v="Sugar"/>
        <s v="Tropical Fruits"/>
        <s v="Locust beans, seaweed, sugar beet, cane, for food export destinations"/>
        <s v="Processed Crustaceans"/>
        <s v="Fish"/>
        <s v="Crustaceans"/>
        <s v="Bran"/>
        <s v="Bran of wheat"/>
        <s v="Cotton "/>
        <s v="Coconuts, Brail Nuts and Cashews"/>
        <s v="Soya beans"/>
        <s v="Cattle"/>
        <s v="Meat of cattle boneless, fresh or chilled"/>
        <s v="Dried Legumes"/>
        <s v="Cotton"/>
        <s v="Other oily seeds"/>
        <s v="Coconuts, Brazil Nuts and Cashews"/>
        <s v="Coffee"/>
        <s v="Tea leaves"/>
        <s v="Processed Fish"/>
        <s v="Molluscs"/>
        <s v="Fish Fillets"/>
        <s v="Mollusc"/>
        <s v="Cocoa beans"/>
        <s v="Bananas"/>
        <s v="Cocoa Butter"/>
        <s v="Cocoa paste "/>
        <s v="Palm oil"/>
        <s v="Poultry meat preparations"/>
        <s v="Meat of chickens, fresh or chilled"/>
        <s v="Cotton, carded or combed"/>
        <s v="Sesame seed"/>
        <s v="Beeswax"/>
        <s v="Food preparations n.e.c."/>
        <s v="Insect Resins"/>
        <s v="Cloves (whole stems), raw"/>
        <s v="Essential oils n.e.c."/>
        <s v="Vanilla, raw"/>
        <s v="Bran of cereals n.e.c."/>
        <s v="Natural rubber in other forms"/>
        <s v="Cashew nuts, in shell"/>
        <s v="Sunflower-seed oil, crude"/>
        <s v="Refined sugar"/>
        <s v="Citrus"/>
        <s v="Fruit prepared n.e.c."/>
        <s v="Flavored Water"/>
        <s v="Rice"/>
        <m/>
        <s v="Wheat flours"/>
        <s v="Wheat"/>
        <s v="Sugar confectionery"/>
        <s v="Sugar and syrups n.e.c."/>
        <s v="Crude organic material n.e.c."/>
        <s v="Other vegetables, fresh n.e.c."/>
        <s v="Oil of palm kernel"/>
        <s v="Industrial monocarboxylic fatty acids; acid oils from refining"/>
        <s v="Coconuts, Brazil Nuts, and Cashews"/>
        <s v="Fish Oil"/>
        <s v="Chocolate"/>
        <s v="Animal Meal and Pellets"/>
        <s v="Cocoa Paste"/>
        <s v="Cocoa paste not defatted"/>
        <s v="Fish "/>
        <s v="Water"/>
        <s v="Cocoa Shells"/>
        <s v="Coconut oil"/>
        <s v="Potatoes"/>
        <s v="Unmanufactured tobacco"/>
        <s v="Groundnuts"/>
        <s v="Watermelons"/>
        <s v="Hides, wet-salted of cattle"/>
        <s v="Food wastes"/>
        <s v="Cranberries"/>
        <s v="Cantaloupes and other melons"/>
        <s v="Other live animals non food, n.e.c."/>
        <s v="Tomatoes"/>
        <s v="Tangerines, mandarins, clementines"/>
        <s v="Other pulses n.e.c."/>
        <s v="Grapes"/>
        <s v="Onions and shallots, dry (excluding dehydrated)"/>
        <s v="Vegetable products, fresh or dry n.e.c."/>
        <s v="Beans, dry"/>
        <s v="Rice, paddy (rice milled equivalent)"/>
        <s v="Malt Extract"/>
        <s v="Chillies and peppers, dry (Capsicum spp., Pimenta spp.), raw"/>
        <s v="Soups and Broths"/>
        <s v="Sheep and Goats"/>
        <s v="Bovine"/>
        <s v="Other Animals"/>
        <s v="Maize"/>
        <s v="Wine"/>
        <s v="Forage Crops"/>
        <s v="Onions"/>
        <s v="Sheep and Goat meat"/>
        <s v="Barley"/>
        <s v="Sheep and Goat"/>
        <s v="Sheeps and Goats"/>
        <s v="Cake of  soya beans"/>
        <s v="Olive oil"/>
        <s v="Soybean Meal"/>
        <s v="Other Fruits"/>
      </sharedItems>
    </cacheField>
    <cacheField name="Value(USD)" numFmtId="0">
      <sharedItems containsString="0" containsBlank="1" containsNumber="1" minValue="20000" maxValue="4300000000"/>
    </cacheField>
    <cacheField name="Destination Country(Top)" numFmtId="0">
      <sharedItems containsBlank="1" count="71">
        <s v="Jordan"/>
        <s v="France"/>
        <s v="Spain"/>
        <s v="Morocco"/>
        <s v="Tunisia"/>
        <s v="Ghana"/>
        <s v="Portugal"/>
        <s v="Cote d'Ivoire"/>
        <s v="Turkey"/>
        <s v="Bangladesh"/>
        <s v="India"/>
        <s v="China"/>
        <s v="South Africa"/>
        <s v="Norway"/>
        <s v="Switzerland"/>
        <s v="Singapore"/>
        <s v="Côte d'Ivoire"/>
        <s v="Japan"/>
        <s v="Germany"/>
        <s v="Pakistan"/>
        <s v="Tanzania"/>
        <s v="Vietnam"/>
        <s v="Netherlands "/>
        <s v="Belgium"/>
        <s v="UK"/>
        <s v="Netherlands"/>
        <s v="Nigeria"/>
        <s v="Chad"/>
        <s v="China, mainland"/>
        <s v="Indonesia"/>
        <s v="United States of America"/>
        <s v="Italy"/>
        <s v="Central African Republic"/>
        <s v="Malaysia"/>
        <s v="Viet Nam"/>
        <s v="Ethiopia"/>
        <s v="Russian Federation"/>
        <s v="Saudi Arabia"/>
        <s v="Cameroon"/>
        <s v="Sao Tome and Principe"/>
        <m/>
        <s v="Madagascar"/>
        <s v="Somalia"/>
        <s v="Israel"/>
        <s v="Senegal"/>
        <s v="Chile"/>
        <s v="Kazakhstan"/>
        <s v="South Korea"/>
        <s v="Macau"/>
        <s v="Malta"/>
        <s v="Kenya"/>
        <s v="United Kingdom of Great Britain and Northern Ireland"/>
        <s v="Rwanda"/>
        <s v="United Republic of Tanzania"/>
        <s v="Mozambique"/>
        <s v="Türkiye"/>
        <s v="Canada"/>
        <s v="Democratic Republic of the Congo"/>
        <s v="Mali"/>
        <s v="Chines Taipei"/>
        <s v="Mauritius"/>
        <s v="Oman"/>
        <s v="United Arab Emirates"/>
        <s v="China, Taiwan Province of"/>
        <s v="Uganda"/>
        <s v="Niger"/>
        <s v="Burkina Faso"/>
        <s v="Sudan"/>
        <s v="Hong Kong"/>
        <s v="Zimbabwe"/>
        <s v="Lesotho"/>
      </sharedItems>
    </cacheField>
    <cacheField name="Rank" numFmtId="0">
      <sharedItems containsString="0" containsBlank="1" containsNumber="1" containsInteger="1" minValue="1" maxValue="3"/>
    </cacheField>
  </cacheFields>
  <extLst>
    <ext xmlns:x14="http://schemas.microsoft.com/office/spreadsheetml/2009/9/main" uri="{725AE2AE-9491-48be-B2B4-4EB974FC3084}">
      <x14:pivotCacheDefinition pivotCacheId="1187829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x v="0"/>
    <n v="2200000000"/>
    <x v="0"/>
    <n v="1"/>
  </r>
  <r>
    <x v="0"/>
    <x v="0"/>
    <x v="1"/>
    <n v="1160000000"/>
    <x v="1"/>
    <n v="2"/>
  </r>
  <r>
    <x v="0"/>
    <x v="0"/>
    <x v="2"/>
    <n v="827000000"/>
    <x v="2"/>
    <n v="3"/>
  </r>
  <r>
    <x v="0"/>
    <x v="1"/>
    <x v="0"/>
    <n v="2660000000"/>
    <x v="0"/>
    <n v="1"/>
  </r>
  <r>
    <x v="0"/>
    <x v="1"/>
    <x v="1"/>
    <n v="1620000000"/>
    <x v="1"/>
    <n v="2"/>
  </r>
  <r>
    <x v="0"/>
    <x v="1"/>
    <x v="3"/>
    <n v="988000000"/>
    <x v="1"/>
    <n v="3"/>
  </r>
  <r>
    <x v="1"/>
    <x v="2"/>
    <x v="0"/>
    <n v="1830000000"/>
    <x v="3"/>
    <n v="1"/>
  </r>
  <r>
    <x v="1"/>
    <x v="2"/>
    <x v="1"/>
    <n v="1310000000"/>
    <x v="4"/>
    <n v="2"/>
  </r>
  <r>
    <x v="1"/>
    <x v="2"/>
    <x v="3"/>
    <n v="1070000000"/>
    <x v="1"/>
    <n v="3"/>
  </r>
  <r>
    <x v="2"/>
    <x v="0"/>
    <x v="4"/>
    <n v="349000000"/>
    <x v="0"/>
    <n v="1"/>
  </r>
  <r>
    <x v="2"/>
    <x v="0"/>
    <x v="5"/>
    <n v="244000000"/>
    <x v="5"/>
    <n v="2"/>
  </r>
  <r>
    <x v="2"/>
    <x v="0"/>
    <x v="6"/>
    <n v="242000000"/>
    <x v="6"/>
    <n v="3"/>
  </r>
  <r>
    <x v="2"/>
    <x v="1"/>
    <x v="4"/>
    <n v="594000000"/>
    <x v="0"/>
    <n v="1"/>
  </r>
  <r>
    <x v="2"/>
    <x v="1"/>
    <x v="5"/>
    <n v="414000000"/>
    <x v="5"/>
    <n v="2"/>
  </r>
  <r>
    <x v="2"/>
    <x v="1"/>
    <x v="6"/>
    <n v="362000000"/>
    <x v="6"/>
    <n v="3"/>
  </r>
  <r>
    <x v="2"/>
    <x v="2"/>
    <x v="0"/>
    <n v="606000000"/>
    <x v="0"/>
    <n v="1"/>
  </r>
  <r>
    <x v="2"/>
    <x v="2"/>
    <x v="5"/>
    <n v="260000000"/>
    <x v="6"/>
    <n v="2"/>
  </r>
  <r>
    <x v="2"/>
    <x v="2"/>
    <x v="6"/>
    <n v="229000000"/>
    <x v="5"/>
    <n v="3"/>
  </r>
  <r>
    <x v="3"/>
    <x v="0"/>
    <x v="7"/>
    <n v="264000000"/>
    <x v="6"/>
    <n v="1"/>
  </r>
  <r>
    <x v="3"/>
    <x v="0"/>
    <x v="8"/>
    <n v="155000000"/>
    <x v="7"/>
    <n v="2"/>
  </r>
  <r>
    <x v="3"/>
    <x v="0"/>
    <x v="9"/>
    <n v="39200000"/>
    <x v="8"/>
    <n v="3"/>
  </r>
  <r>
    <x v="3"/>
    <x v="1"/>
    <x v="10"/>
    <n v="292000000"/>
    <x v="9"/>
    <n v="1"/>
  </r>
  <r>
    <x v="3"/>
    <x v="1"/>
    <x v="11"/>
    <n v="266000000"/>
    <x v="6"/>
    <n v="2"/>
  </r>
  <r>
    <x v="3"/>
    <x v="1"/>
    <x v="12"/>
    <n v="31500000"/>
    <x v="6"/>
    <n v="3"/>
  </r>
  <r>
    <x v="3"/>
    <x v="2"/>
    <x v="13"/>
    <n v="142000000"/>
    <x v="6"/>
    <n v="1"/>
  </r>
  <r>
    <x v="3"/>
    <x v="2"/>
    <x v="14"/>
    <n v="25500000"/>
    <x v="10"/>
    <n v="2"/>
  </r>
  <r>
    <x v="3"/>
    <x v="2"/>
    <x v="15"/>
    <n v="1750000"/>
    <x v="11"/>
    <n v="3"/>
  </r>
  <r>
    <x v="4"/>
    <x v="0"/>
    <x v="3"/>
    <n v="64900000.000000007"/>
    <x v="12"/>
    <n v="1"/>
  </r>
  <r>
    <x v="4"/>
    <x v="0"/>
    <x v="16"/>
    <n v="60200000"/>
    <x v="12"/>
    <n v="2"/>
  </r>
  <r>
    <x v="4"/>
    <x v="0"/>
    <x v="17"/>
    <n v="56100000"/>
    <x v="13"/>
    <n v="3"/>
  </r>
  <r>
    <x v="4"/>
    <x v="1"/>
    <x v="16"/>
    <n v="145000000"/>
    <x v="12"/>
    <n v="1"/>
  </r>
  <r>
    <x v="4"/>
    <x v="1"/>
    <x v="3"/>
    <n v="66200000"/>
    <x v="12"/>
    <n v="2"/>
  </r>
  <r>
    <x v="4"/>
    <x v="1"/>
    <x v="6"/>
    <n v="40100000"/>
    <x v="12"/>
    <n v="3"/>
  </r>
  <r>
    <x v="4"/>
    <x v="2"/>
    <x v="18"/>
    <n v="158000000"/>
    <x v="12"/>
    <n v="1"/>
  </r>
  <r>
    <x v="4"/>
    <x v="2"/>
    <x v="16"/>
    <n v="63200000"/>
    <x v="12"/>
    <n v="2"/>
  </r>
  <r>
    <x v="4"/>
    <x v="2"/>
    <x v="3"/>
    <n v="53600000"/>
    <x v="12"/>
    <n v="3"/>
  </r>
  <r>
    <x v="5"/>
    <x v="0"/>
    <x v="6"/>
    <n v="90800000"/>
    <x v="6"/>
    <n v="1"/>
  </r>
  <r>
    <x v="5"/>
    <x v="0"/>
    <x v="19"/>
    <n v="69000000"/>
    <x v="14"/>
    <n v="2"/>
  </r>
  <r>
    <x v="5"/>
    <x v="0"/>
    <x v="0"/>
    <n v="60800000"/>
    <x v="0"/>
    <n v="3"/>
  </r>
  <r>
    <x v="5"/>
    <x v="1"/>
    <x v="6"/>
    <n v="151000000"/>
    <x v="6"/>
    <n v="1"/>
  </r>
  <r>
    <x v="5"/>
    <x v="1"/>
    <x v="0"/>
    <n v="87900000"/>
    <x v="0"/>
    <n v="2"/>
  </r>
  <r>
    <x v="5"/>
    <x v="1"/>
    <x v="16"/>
    <n v="42200000"/>
    <x v="13"/>
    <n v="3"/>
  </r>
  <r>
    <x v="5"/>
    <x v="2"/>
    <x v="9"/>
    <n v="184000000"/>
    <x v="15"/>
    <n v="1"/>
  </r>
  <r>
    <x v="5"/>
    <x v="2"/>
    <x v="11"/>
    <n v="154000000"/>
    <x v="6"/>
    <n v="2"/>
  </r>
  <r>
    <x v="5"/>
    <x v="2"/>
    <x v="8"/>
    <n v="80000000"/>
    <x v="16"/>
    <n v="3"/>
  </r>
  <r>
    <x v="6"/>
    <x v="0"/>
    <x v="0"/>
    <n v="23700000"/>
    <x v="17"/>
    <n v="1"/>
  </r>
  <r>
    <x v="6"/>
    <x v="0"/>
    <x v="16"/>
    <n v="20500000"/>
    <x v="18"/>
    <n v="2"/>
  </r>
  <r>
    <x v="6"/>
    <x v="0"/>
    <x v="6"/>
    <n v="12600000"/>
    <x v="19"/>
    <n v="3"/>
  </r>
  <r>
    <x v="6"/>
    <x v="1"/>
    <x v="0"/>
    <n v="26300000"/>
    <x v="1"/>
    <n v="1"/>
  </r>
  <r>
    <x v="6"/>
    <x v="1"/>
    <x v="6"/>
    <n v="17400000"/>
    <x v="19"/>
    <n v="2"/>
  </r>
  <r>
    <x v="6"/>
    <x v="1"/>
    <x v="20"/>
    <n v="10700000"/>
    <x v="20"/>
    <n v="3"/>
  </r>
  <r>
    <x v="6"/>
    <x v="2"/>
    <x v="21"/>
    <n v="8189999.9999999991"/>
    <x v="17"/>
    <n v="1"/>
  </r>
  <r>
    <x v="6"/>
    <x v="2"/>
    <x v="3"/>
    <n v="7730000"/>
    <x v="21"/>
    <n v="2"/>
  </r>
  <r>
    <x v="6"/>
    <x v="2"/>
    <x v="16"/>
    <n v="6820000"/>
    <x v="21"/>
    <n v="3"/>
  </r>
  <r>
    <x v="7"/>
    <x v="0"/>
    <x v="6"/>
    <n v="22100000"/>
    <x v="13"/>
    <n v="1"/>
  </r>
  <r>
    <x v="7"/>
    <x v="0"/>
    <x v="5"/>
    <n v="15200000"/>
    <x v="22"/>
    <n v="2"/>
  </r>
  <r>
    <x v="7"/>
    <x v="0"/>
    <x v="1"/>
    <n v="14800000"/>
    <x v="20"/>
    <n v="3"/>
  </r>
  <r>
    <x v="7"/>
    <x v="1"/>
    <x v="6"/>
    <n v="30300000"/>
    <x v="13"/>
    <n v="1"/>
  </r>
  <r>
    <x v="7"/>
    <x v="1"/>
    <x v="19"/>
    <n v="20200000"/>
    <x v="13"/>
    <n v="2"/>
  </r>
  <r>
    <x v="7"/>
    <x v="1"/>
    <x v="5"/>
    <n v="19900000"/>
    <x v="23"/>
    <n v="3"/>
  </r>
  <r>
    <x v="7"/>
    <x v="2"/>
    <x v="6"/>
    <n v="26600000"/>
    <x v="24"/>
    <n v="1"/>
  </r>
  <r>
    <x v="7"/>
    <x v="2"/>
    <x v="5"/>
    <n v="18100000"/>
    <x v="22"/>
    <n v="2"/>
  </r>
  <r>
    <x v="7"/>
    <x v="2"/>
    <x v="3"/>
    <n v="13900000"/>
    <x v="1"/>
    <n v="3"/>
  </r>
  <r>
    <x v="8"/>
    <x v="0"/>
    <x v="6"/>
    <n v="362000000"/>
    <x v="6"/>
    <n v="1"/>
  </r>
  <r>
    <x v="8"/>
    <x v="0"/>
    <x v="0"/>
    <n v="299000000"/>
    <x v="2"/>
    <n v="2"/>
  </r>
  <r>
    <x v="8"/>
    <x v="0"/>
    <x v="19"/>
    <n v="250000000"/>
    <x v="25"/>
    <n v="3"/>
  </r>
  <r>
    <x v="8"/>
    <x v="1"/>
    <x v="0"/>
    <n v="316000000"/>
    <x v="6"/>
    <n v="1"/>
  </r>
  <r>
    <x v="8"/>
    <x v="1"/>
    <x v="6"/>
    <n v="304000000"/>
    <x v="2"/>
    <n v="2"/>
  </r>
  <r>
    <x v="8"/>
    <x v="1"/>
    <x v="19"/>
    <n v="189000000"/>
    <x v="25"/>
    <n v="3"/>
  </r>
  <r>
    <x v="8"/>
    <x v="2"/>
    <x v="0"/>
    <n v="232000000"/>
    <x v="26"/>
    <n v="1"/>
  </r>
  <r>
    <x v="8"/>
    <x v="2"/>
    <x v="6"/>
    <n v="229000000"/>
    <x v="27"/>
    <n v="2"/>
  </r>
  <r>
    <x v="8"/>
    <x v="2"/>
    <x v="19"/>
    <n v="175000000"/>
    <x v="23"/>
    <n v="3"/>
  </r>
  <r>
    <x v="9"/>
    <x v="0"/>
    <x v="22"/>
    <n v="11600000"/>
    <x v="28"/>
    <n v="1"/>
  </r>
  <r>
    <x v="9"/>
    <x v="0"/>
    <x v="6"/>
    <n v="10900000"/>
    <x v="28"/>
    <n v="2"/>
  </r>
  <r>
    <x v="9"/>
    <x v="0"/>
    <x v="16"/>
    <n v="9560000"/>
    <x v="29"/>
    <n v="3"/>
  </r>
  <r>
    <x v="9"/>
    <x v="1"/>
    <x v="5"/>
    <n v="17400000"/>
    <x v="22"/>
    <n v="1"/>
  </r>
  <r>
    <x v="9"/>
    <x v="1"/>
    <x v="6"/>
    <n v="10300000"/>
    <x v="5"/>
    <n v="2"/>
  </r>
  <r>
    <x v="9"/>
    <x v="1"/>
    <x v="22"/>
    <n v="9700000"/>
    <x v="28"/>
    <n v="3"/>
  </r>
  <r>
    <x v="9"/>
    <x v="2"/>
    <x v="6"/>
    <n v="16900000"/>
    <x v="5"/>
    <n v="1"/>
  </r>
  <r>
    <x v="9"/>
    <x v="2"/>
    <x v="5"/>
    <n v="16700000"/>
    <x v="13"/>
    <n v="2"/>
  </r>
  <r>
    <x v="9"/>
    <x v="2"/>
    <x v="22"/>
    <n v="9970000"/>
    <x v="0"/>
    <n v="3"/>
  </r>
  <r>
    <x v="10"/>
    <x v="0"/>
    <x v="6"/>
    <n v="19100000"/>
    <x v="28"/>
    <n v="1"/>
  </r>
  <r>
    <x v="10"/>
    <x v="0"/>
    <x v="21"/>
    <n v="14200000"/>
    <x v="30"/>
    <n v="2"/>
  </r>
  <r>
    <x v="10"/>
    <x v="0"/>
    <x v="1"/>
    <n v="12600000"/>
    <x v="10"/>
    <n v="3"/>
  </r>
  <r>
    <x v="10"/>
    <x v="1"/>
    <x v="21"/>
    <n v="24900000"/>
    <x v="31"/>
    <n v="1"/>
  </r>
  <r>
    <x v="10"/>
    <x v="1"/>
    <x v="1"/>
    <n v="13400000"/>
    <x v="10"/>
    <n v="2"/>
  </r>
  <r>
    <x v="10"/>
    <x v="1"/>
    <x v="23"/>
    <n v="12700000"/>
    <x v="32"/>
    <n v="3"/>
  </r>
  <r>
    <x v="10"/>
    <x v="2"/>
    <x v="21"/>
    <n v="17700000"/>
    <x v="31"/>
    <n v="1"/>
  </r>
  <r>
    <x v="10"/>
    <x v="2"/>
    <x v="23"/>
    <n v="13600000"/>
    <x v="33"/>
    <n v="2"/>
  </r>
  <r>
    <x v="10"/>
    <x v="2"/>
    <x v="0"/>
    <n v="13300000"/>
    <x v="32"/>
    <n v="3"/>
  </r>
  <r>
    <x v="11"/>
    <x v="0"/>
    <x v="6"/>
    <n v="36900000"/>
    <x v="34"/>
    <n v="1"/>
  </r>
  <r>
    <x v="11"/>
    <x v="0"/>
    <x v="5"/>
    <n v="25500000"/>
    <x v="26"/>
    <n v="2"/>
  </r>
  <r>
    <x v="11"/>
    <x v="0"/>
    <x v="16"/>
    <n v="8300000.0000000009"/>
    <x v="35"/>
    <n v="3"/>
  </r>
  <r>
    <x v="11"/>
    <x v="1"/>
    <x v="6"/>
    <n v="21600000"/>
    <x v="34"/>
    <n v="1"/>
  </r>
  <r>
    <x v="11"/>
    <x v="1"/>
    <x v="5"/>
    <n v="20400000"/>
    <x v="26"/>
    <n v="2"/>
  </r>
  <r>
    <x v="11"/>
    <x v="1"/>
    <x v="24"/>
    <n v="9680000"/>
    <x v="36"/>
    <n v="3"/>
  </r>
  <r>
    <x v="11"/>
    <x v="2"/>
    <x v="6"/>
    <n v="29500000"/>
    <x v="26"/>
    <n v="1"/>
  </r>
  <r>
    <x v="11"/>
    <x v="2"/>
    <x v="5"/>
    <n v="28400000"/>
    <x v="34"/>
    <n v="2"/>
  </r>
  <r>
    <x v="11"/>
    <x v="2"/>
    <x v="25"/>
    <n v="6320000"/>
    <x v="32"/>
    <n v="3"/>
  </r>
  <r>
    <x v="12"/>
    <x v="0"/>
    <x v="26"/>
    <n v="164000000"/>
    <x v="5"/>
    <n v="1"/>
  </r>
  <r>
    <x v="12"/>
    <x v="0"/>
    <x v="0"/>
    <n v="73300000"/>
    <x v="2"/>
    <n v="2"/>
  </r>
  <r>
    <x v="12"/>
    <x v="0"/>
    <x v="19"/>
    <n v="69200000"/>
    <x v="37"/>
    <n v="3"/>
  </r>
  <r>
    <x v="12"/>
    <x v="1"/>
    <x v="5"/>
    <n v="206000000"/>
    <x v="5"/>
    <n v="1"/>
  </r>
  <r>
    <x v="12"/>
    <x v="1"/>
    <x v="0"/>
    <n v="104000000"/>
    <x v="0"/>
    <n v="2"/>
  </r>
  <r>
    <x v="12"/>
    <x v="1"/>
    <x v="24"/>
    <n v="73900000"/>
    <x v="38"/>
    <n v="3"/>
  </r>
  <r>
    <x v="12"/>
    <x v="2"/>
    <x v="5"/>
    <n v="227000000"/>
    <x v="5"/>
    <n v="1"/>
  </r>
  <r>
    <x v="12"/>
    <x v="2"/>
    <x v="24"/>
    <n v="103000000"/>
    <x v="38"/>
    <n v="2"/>
  </r>
  <r>
    <x v="12"/>
    <x v="2"/>
    <x v="0"/>
    <n v="60700000"/>
    <x v="39"/>
    <n v="3"/>
  </r>
  <r>
    <x v="13"/>
    <x v="0"/>
    <x v="6"/>
    <n v="728000000"/>
    <x v="6"/>
    <n v="1"/>
  </r>
  <r>
    <x v="13"/>
    <x v="0"/>
    <x v="19"/>
    <n v="710000000"/>
    <x v="40"/>
    <n v="2"/>
  </r>
  <r>
    <x v="13"/>
    <x v="0"/>
    <x v="0"/>
    <n v="236000000"/>
    <x v="0"/>
    <n v="3"/>
  </r>
  <r>
    <x v="13"/>
    <x v="1"/>
    <x v="6"/>
    <n v="809000000"/>
    <x v="41"/>
    <n v="1"/>
  </r>
  <r>
    <x v="13"/>
    <x v="1"/>
    <x v="19"/>
    <n v="772000000"/>
    <x v="25"/>
    <n v="2"/>
  </r>
  <r>
    <x v="13"/>
    <x v="1"/>
    <x v="0"/>
    <n v="314000000"/>
    <x v="0"/>
    <n v="3"/>
  </r>
  <r>
    <x v="13"/>
    <x v="2"/>
    <x v="19"/>
    <n v="846000000"/>
    <x v="42"/>
    <n v="1"/>
  </r>
  <r>
    <x v="13"/>
    <x v="2"/>
    <x v="6"/>
    <n v="721000000"/>
    <x v="43"/>
    <n v="2"/>
  </r>
  <r>
    <x v="13"/>
    <x v="2"/>
    <x v="0"/>
    <n v="231000000"/>
    <x v="0"/>
    <n v="3"/>
  </r>
  <r>
    <x v="14"/>
    <x v="0"/>
    <x v="26"/>
    <n v="214000000"/>
    <x v="26"/>
    <n v="1"/>
  </r>
  <r>
    <x v="14"/>
    <x v="0"/>
    <x v="16"/>
    <n v="186000000"/>
    <x v="21"/>
    <n v="2"/>
  </r>
  <r>
    <x v="14"/>
    <x v="0"/>
    <x v="17"/>
    <n v="186000000"/>
    <x v="21"/>
    <n v="3"/>
  </r>
  <r>
    <x v="14"/>
    <x v="1"/>
    <x v="0"/>
    <n v="286000000"/>
    <x v="2"/>
    <n v="1"/>
  </r>
  <r>
    <x v="14"/>
    <x v="1"/>
    <x v="5"/>
    <n v="204000000"/>
    <x v="26"/>
    <n v="2"/>
  </r>
  <r>
    <x v="14"/>
    <x v="1"/>
    <x v="16"/>
    <n v="116000000"/>
    <x v="21"/>
    <n v="3"/>
  </r>
  <r>
    <x v="14"/>
    <x v="2"/>
    <x v="5"/>
    <n v="214000000"/>
    <x v="26"/>
    <n v="1"/>
  </r>
  <r>
    <x v="14"/>
    <x v="2"/>
    <x v="16"/>
    <n v="186000000"/>
    <x v="21"/>
    <n v="2"/>
  </r>
  <r>
    <x v="14"/>
    <x v="2"/>
    <x v="17"/>
    <n v="186000000"/>
    <x v="21"/>
    <n v="3"/>
  </r>
  <r>
    <x v="15"/>
    <x v="0"/>
    <x v="24"/>
    <n v="468000000"/>
    <x v="44"/>
    <n v="1"/>
  </r>
  <r>
    <x v="15"/>
    <x v="0"/>
    <x v="27"/>
    <n v="306000000"/>
    <x v="33"/>
    <n v="2"/>
  </r>
  <r>
    <x v="15"/>
    <x v="0"/>
    <x v="16"/>
    <n v="271000000"/>
    <x v="6"/>
    <n v="3"/>
  </r>
  <r>
    <x v="15"/>
    <x v="1"/>
    <x v="24"/>
    <n v="612000000"/>
    <x v="45"/>
    <n v="1"/>
  </r>
  <r>
    <x v="15"/>
    <x v="1"/>
    <x v="27"/>
    <n v="476000000"/>
    <x v="33"/>
    <n v="2"/>
  </r>
  <r>
    <x v="15"/>
    <x v="1"/>
    <x v="16"/>
    <n v="319000000"/>
    <x v="6"/>
    <n v="3"/>
  </r>
  <r>
    <x v="15"/>
    <x v="2"/>
    <x v="24"/>
    <n v="756000000"/>
    <x v="44"/>
    <n v="1"/>
  </r>
  <r>
    <x v="15"/>
    <x v="2"/>
    <x v="27"/>
    <n v="405000000"/>
    <x v="33"/>
    <n v="2"/>
  </r>
  <r>
    <x v="15"/>
    <x v="2"/>
    <x v="16"/>
    <n v="377000000"/>
    <x v="6"/>
    <n v="3"/>
  </r>
  <r>
    <x v="16"/>
    <x v="0"/>
    <x v="0"/>
    <n v="5790000000"/>
    <x v="2"/>
    <n v="1"/>
  </r>
  <r>
    <x v="16"/>
    <x v="0"/>
    <x v="3"/>
    <n v="2260000000"/>
    <x v="1"/>
    <n v="2"/>
  </r>
  <r>
    <x v="16"/>
    <x v="0"/>
    <x v="8"/>
    <n v="2170000000"/>
    <x v="5"/>
    <n v="3"/>
  </r>
  <r>
    <x v="16"/>
    <x v="1"/>
    <x v="0"/>
    <n v="5320000000"/>
    <x v="2"/>
    <n v="1"/>
  </r>
  <r>
    <x v="16"/>
    <x v="1"/>
    <x v="8"/>
    <n v="2500000000"/>
    <x v="13"/>
    <n v="2"/>
  </r>
  <r>
    <x v="16"/>
    <x v="1"/>
    <x v="3"/>
    <n v="2250000000"/>
    <x v="5"/>
    <n v="3"/>
  </r>
  <r>
    <x v="16"/>
    <x v="2"/>
    <x v="0"/>
    <n v="4000000000"/>
    <x v="2"/>
    <n v="1"/>
  </r>
  <r>
    <x v="16"/>
    <x v="2"/>
    <x v="3"/>
    <n v="1490000000"/>
    <x v="46"/>
    <n v="2"/>
  </r>
  <r>
    <x v="16"/>
    <x v="2"/>
    <x v="24"/>
    <n v="1200000000"/>
    <x v="38"/>
    <n v="3"/>
  </r>
  <r>
    <x v="17"/>
    <x v="0"/>
    <x v="5"/>
    <n v="39300000"/>
    <x v="5"/>
    <n v="1"/>
  </r>
  <r>
    <x v="17"/>
    <x v="0"/>
    <x v="24"/>
    <n v="16500000"/>
    <x v="38"/>
    <n v="2"/>
  </r>
  <r>
    <x v="17"/>
    <x v="0"/>
    <x v="19"/>
    <n v="11800000"/>
    <x v="47"/>
    <n v="3"/>
  </r>
  <r>
    <x v="17"/>
    <x v="1"/>
    <x v="5"/>
    <n v="45400000"/>
    <x v="13"/>
    <n v="1"/>
  </r>
  <r>
    <x v="17"/>
    <x v="1"/>
    <x v="24"/>
    <n v="16700000"/>
    <x v="38"/>
    <n v="2"/>
  </r>
  <r>
    <x v="17"/>
    <x v="1"/>
    <x v="19"/>
    <n v="13000000"/>
    <x v="47"/>
    <n v="3"/>
  </r>
  <r>
    <x v="17"/>
    <x v="2"/>
    <x v="5"/>
    <n v="42800000"/>
    <x v="13"/>
    <n v="1"/>
  </r>
  <r>
    <x v="17"/>
    <x v="2"/>
    <x v="19"/>
    <n v="13000000"/>
    <x v="22"/>
    <n v="2"/>
  </r>
  <r>
    <x v="17"/>
    <x v="2"/>
    <x v="6"/>
    <n v="12600000"/>
    <x v="27"/>
    <n v="3"/>
  </r>
  <r>
    <x v="18"/>
    <x v="0"/>
    <x v="0"/>
    <n v="15100000"/>
    <x v="33"/>
    <n v="1"/>
  </r>
  <r>
    <x v="18"/>
    <x v="0"/>
    <x v="28"/>
    <n v="13700000"/>
    <x v="5"/>
    <n v="2"/>
  </r>
  <r>
    <x v="18"/>
    <x v="0"/>
    <x v="16"/>
    <n v="13700000"/>
    <x v="13"/>
    <n v="3"/>
  </r>
  <r>
    <x v="18"/>
    <x v="1"/>
    <x v="28"/>
    <n v="27000000"/>
    <x v="5"/>
    <n v="1"/>
  </r>
  <r>
    <x v="18"/>
    <x v="1"/>
    <x v="0"/>
    <n v="22700000"/>
    <x v="33"/>
    <n v="2"/>
  </r>
  <r>
    <x v="18"/>
    <x v="1"/>
    <x v="29"/>
    <n v="12800000"/>
    <x v="32"/>
    <n v="3"/>
  </r>
  <r>
    <x v="18"/>
    <x v="2"/>
    <x v="28"/>
    <n v="27300000"/>
    <x v="5"/>
    <n v="1"/>
  </r>
  <r>
    <x v="18"/>
    <x v="2"/>
    <x v="0"/>
    <n v="22300000"/>
    <x v="33"/>
    <n v="2"/>
  </r>
  <r>
    <x v="18"/>
    <x v="2"/>
    <x v="16"/>
    <n v="15300000"/>
    <x v="6"/>
    <n v="3"/>
  </r>
  <r>
    <x v="19"/>
    <x v="0"/>
    <x v="3"/>
    <n v="37200000"/>
    <x v="12"/>
    <n v="1"/>
  </r>
  <r>
    <x v="19"/>
    <x v="0"/>
    <x v="6"/>
    <n v="23600000"/>
    <x v="6"/>
    <n v="2"/>
  </r>
  <r>
    <x v="19"/>
    <x v="0"/>
    <x v="0"/>
    <n v="18800000"/>
    <x v="48"/>
    <n v="3"/>
  </r>
  <r>
    <x v="19"/>
    <x v="1"/>
    <x v="3"/>
    <n v="45100000"/>
    <x v="12"/>
    <n v="1"/>
  </r>
  <r>
    <x v="19"/>
    <x v="1"/>
    <x v="6"/>
    <n v="21600000"/>
    <x v="6"/>
    <n v="2"/>
  </r>
  <r>
    <x v="19"/>
    <x v="1"/>
    <x v="0"/>
    <n v="21300000"/>
    <x v="48"/>
    <n v="3"/>
  </r>
  <r>
    <x v="19"/>
    <x v="2"/>
    <x v="3"/>
    <n v="42900000"/>
    <x v="12"/>
    <n v="1"/>
  </r>
  <r>
    <x v="19"/>
    <x v="2"/>
    <x v="6"/>
    <n v="24500000"/>
    <x v="6"/>
    <n v="2"/>
  </r>
  <r>
    <x v="19"/>
    <x v="2"/>
    <x v="17"/>
    <n v="20100000"/>
    <x v="12"/>
    <n v="3"/>
  </r>
  <r>
    <x v="20"/>
    <x v="0"/>
    <x v="0"/>
    <n v="1020000000"/>
    <x v="46"/>
    <n v="1"/>
  </r>
  <r>
    <x v="20"/>
    <x v="0"/>
    <x v="16"/>
    <n v="820000000"/>
    <x v="6"/>
    <n v="2"/>
  </r>
  <r>
    <x v="20"/>
    <x v="0"/>
    <x v="24"/>
    <n v="714000000"/>
    <x v="36"/>
    <n v="3"/>
  </r>
  <r>
    <x v="20"/>
    <x v="1"/>
    <x v="0"/>
    <n v="1160000000"/>
    <x v="5"/>
    <n v="1"/>
  </r>
  <r>
    <x v="20"/>
    <x v="1"/>
    <x v="16"/>
    <n v="863000000"/>
    <x v="6"/>
    <n v="2"/>
  </r>
  <r>
    <x v="20"/>
    <x v="1"/>
    <x v="24"/>
    <n v="764000000"/>
    <x v="36"/>
    <n v="3"/>
  </r>
  <r>
    <x v="20"/>
    <x v="2"/>
    <x v="16"/>
    <n v="667000000"/>
    <x v="49"/>
    <n v="1"/>
  </r>
  <r>
    <x v="20"/>
    <x v="2"/>
    <x v="6"/>
    <n v="484000000"/>
    <x v="49"/>
    <n v="2"/>
  </r>
  <r>
    <x v="20"/>
    <x v="2"/>
    <x v="29"/>
    <n v="478000000"/>
    <x v="49"/>
    <n v="3"/>
  </r>
  <r>
    <x v="21"/>
    <x v="0"/>
    <x v="5"/>
    <n v="106000000"/>
    <x v="50"/>
    <n v="1"/>
  </r>
  <r>
    <x v="21"/>
    <x v="0"/>
    <x v="6"/>
    <n v="76900000"/>
    <x v="51"/>
    <n v="2"/>
  </r>
  <r>
    <x v="21"/>
    <x v="0"/>
    <x v="0"/>
    <n v="43200000"/>
    <x v="0"/>
    <n v="3"/>
  </r>
  <r>
    <x v="21"/>
    <x v="1"/>
    <x v="5"/>
    <n v="111000000"/>
    <x v="5"/>
    <n v="1"/>
  </r>
  <r>
    <x v="21"/>
    <x v="1"/>
    <x v="6"/>
    <n v="60100000"/>
    <x v="43"/>
    <n v="2"/>
  </r>
  <r>
    <x v="21"/>
    <x v="1"/>
    <x v="0"/>
    <n v="47600000"/>
    <x v="0"/>
    <n v="3"/>
  </r>
  <r>
    <x v="21"/>
    <x v="2"/>
    <x v="5"/>
    <n v="98600000"/>
    <x v="13"/>
    <n v="1"/>
  </r>
  <r>
    <x v="21"/>
    <x v="2"/>
    <x v="6"/>
    <n v="83700000"/>
    <x v="43"/>
    <n v="2"/>
  </r>
  <r>
    <x v="21"/>
    <x v="2"/>
    <x v="0"/>
    <n v="44900000"/>
    <x v="0"/>
    <n v="3"/>
  </r>
  <r>
    <x v="22"/>
    <x v="0"/>
    <x v="24"/>
    <n v="76600000"/>
    <x v="44"/>
    <n v="1"/>
  </r>
  <r>
    <x v="22"/>
    <x v="0"/>
    <x v="6"/>
    <n v="67600000"/>
    <x v="13"/>
    <n v="2"/>
  </r>
  <r>
    <x v="22"/>
    <x v="0"/>
    <x v="5"/>
    <n v="40300000"/>
    <x v="5"/>
    <n v="3"/>
  </r>
  <r>
    <x v="22"/>
    <x v="1"/>
    <x v="6"/>
    <n v="76500000"/>
    <x v="6"/>
    <n v="1"/>
  </r>
  <r>
    <x v="22"/>
    <x v="1"/>
    <x v="16"/>
    <n v="75400000"/>
    <x v="13"/>
    <n v="2"/>
  </r>
  <r>
    <x v="22"/>
    <x v="1"/>
    <x v="5"/>
    <n v="61400000"/>
    <x v="5"/>
    <n v="3"/>
  </r>
  <r>
    <x v="22"/>
    <x v="2"/>
    <x v="6"/>
    <n v="106000000"/>
    <x v="6"/>
    <n v="1"/>
  </r>
  <r>
    <x v="22"/>
    <x v="2"/>
    <x v="24"/>
    <n v="69500000"/>
    <x v="5"/>
    <n v="2"/>
  </r>
  <r>
    <x v="22"/>
    <x v="2"/>
    <x v="5"/>
    <n v="59100000"/>
    <x v="5"/>
    <n v="3"/>
  </r>
  <r>
    <x v="23"/>
    <x v="0"/>
    <x v="6"/>
    <n v="539000000"/>
    <x v="41"/>
    <n v="1"/>
  </r>
  <r>
    <x v="23"/>
    <x v="0"/>
    <x v="19"/>
    <n v="402000000"/>
    <x v="25"/>
    <n v="2"/>
  </r>
  <r>
    <x v="23"/>
    <x v="0"/>
    <x v="24"/>
    <n v="353000000"/>
    <x v="36"/>
    <n v="3"/>
  </r>
  <r>
    <x v="23"/>
    <x v="1"/>
    <x v="6"/>
    <n v="453000000"/>
    <x v="41"/>
    <n v="1"/>
  </r>
  <r>
    <x v="23"/>
    <x v="1"/>
    <x v="19"/>
    <n v="320000000"/>
    <x v="25"/>
    <n v="2"/>
  </r>
  <r>
    <x v="23"/>
    <x v="1"/>
    <x v="30"/>
    <n v="267000000"/>
    <x v="3"/>
    <n v="3"/>
  </r>
  <r>
    <x v="23"/>
    <x v="2"/>
    <x v="6"/>
    <n v="342000000"/>
    <x v="41"/>
    <n v="1"/>
  </r>
  <r>
    <x v="23"/>
    <x v="2"/>
    <x v="5"/>
    <n v="298000000"/>
    <x v="22"/>
    <n v="2"/>
  </r>
  <r>
    <x v="23"/>
    <x v="2"/>
    <x v="30"/>
    <n v="257000000"/>
    <x v="3"/>
    <n v="3"/>
  </r>
  <r>
    <x v="24"/>
    <x v="0"/>
    <x v="6"/>
    <n v="334000000"/>
    <x v="6"/>
    <n v="1"/>
  </r>
  <r>
    <x v="24"/>
    <x v="0"/>
    <x v="0"/>
    <n v="105000000"/>
    <x v="52"/>
    <n v="2"/>
  </r>
  <r>
    <x v="24"/>
    <x v="0"/>
    <x v="16"/>
    <n v="74100000"/>
    <x v="13"/>
    <n v="3"/>
  </r>
  <r>
    <x v="24"/>
    <x v="1"/>
    <x v="6"/>
    <n v="301000000"/>
    <x v="6"/>
    <n v="1"/>
  </r>
  <r>
    <x v="24"/>
    <x v="1"/>
    <x v="0"/>
    <n v="123000000"/>
    <x v="52"/>
    <n v="2"/>
  </r>
  <r>
    <x v="24"/>
    <x v="1"/>
    <x v="16"/>
    <n v="99200000"/>
    <x v="13"/>
    <n v="3"/>
  </r>
  <r>
    <x v="24"/>
    <x v="2"/>
    <x v="6"/>
    <n v="336000000"/>
    <x v="6"/>
    <n v="1"/>
  </r>
  <r>
    <x v="24"/>
    <x v="2"/>
    <x v="0"/>
    <n v="124000000"/>
    <x v="52"/>
    <n v="2"/>
  </r>
  <r>
    <x v="24"/>
    <x v="2"/>
    <x v="16"/>
    <n v="123000000"/>
    <x v="13"/>
    <n v="3"/>
  </r>
  <r>
    <x v="25"/>
    <x v="0"/>
    <x v="6"/>
    <n v="35300000"/>
    <x v="9"/>
    <n v="1"/>
  </r>
  <r>
    <x v="25"/>
    <x v="0"/>
    <x v="0"/>
    <n v="10700000"/>
    <x v="22"/>
    <n v="2"/>
  </r>
  <r>
    <x v="25"/>
    <x v="0"/>
    <x v="31"/>
    <n v="4360000"/>
    <x v="53"/>
    <n v="3"/>
  </r>
  <r>
    <x v="25"/>
    <x v="1"/>
    <x v="6"/>
    <n v="17600000"/>
    <x v="9"/>
    <n v="1"/>
  </r>
  <r>
    <x v="25"/>
    <x v="1"/>
    <x v="0"/>
    <n v="11600000"/>
    <x v="22"/>
    <n v="2"/>
  </r>
  <r>
    <x v="25"/>
    <x v="1"/>
    <x v="31"/>
    <n v="4490000"/>
    <x v="53"/>
    <n v="3"/>
  </r>
  <r>
    <x v="25"/>
    <x v="2"/>
    <x v="6"/>
    <n v="45600000"/>
    <x v="34"/>
    <n v="1"/>
  </r>
  <r>
    <x v="25"/>
    <x v="2"/>
    <x v="0"/>
    <n v="8930000"/>
    <x v="22"/>
    <n v="2"/>
  </r>
  <r>
    <x v="25"/>
    <x v="2"/>
    <x v="5"/>
    <n v="5400000"/>
    <x v="5"/>
    <n v="3"/>
  </r>
  <r>
    <x v="26"/>
    <x v="0"/>
    <x v="24"/>
    <n v="950000000"/>
    <x v="45"/>
    <n v="1"/>
  </r>
  <r>
    <x v="26"/>
    <x v="0"/>
    <x v="0"/>
    <n v="502000000"/>
    <x v="2"/>
    <n v="2"/>
  </r>
  <r>
    <x v="26"/>
    <x v="0"/>
    <x v="6"/>
    <n v="276000000"/>
    <x v="6"/>
    <n v="3"/>
  </r>
  <r>
    <x v="26"/>
    <x v="1"/>
    <x v="24"/>
    <n v="1070000000"/>
    <x v="45"/>
    <n v="1"/>
  </r>
  <r>
    <x v="26"/>
    <x v="1"/>
    <x v="0"/>
    <n v="578000000"/>
    <x v="2"/>
    <n v="2"/>
  </r>
  <r>
    <x v="26"/>
    <x v="1"/>
    <x v="16"/>
    <n v="238000000"/>
    <x v="54"/>
    <n v="3"/>
  </r>
  <r>
    <x v="26"/>
    <x v="2"/>
    <x v="24"/>
    <n v="846000000"/>
    <x v="45"/>
    <n v="1"/>
  </r>
  <r>
    <x v="26"/>
    <x v="2"/>
    <x v="0"/>
    <n v="654000000"/>
    <x v="2"/>
    <n v="2"/>
  </r>
  <r>
    <x v="26"/>
    <x v="2"/>
    <x v="16"/>
    <n v="401000000"/>
    <x v="13"/>
    <n v="3"/>
  </r>
  <r>
    <x v="27"/>
    <x v="0"/>
    <x v="32"/>
    <n v="30100000"/>
    <x v="12"/>
    <n v="1"/>
  </r>
  <r>
    <x v="27"/>
    <x v="0"/>
    <x v="5"/>
    <n v="27500000"/>
    <x v="12"/>
    <n v="2"/>
  </r>
  <r>
    <x v="27"/>
    <x v="0"/>
    <x v="3"/>
    <n v="18100000"/>
    <x v="12"/>
    <n v="3"/>
  </r>
  <r>
    <x v="27"/>
    <x v="1"/>
    <x v="32"/>
    <n v="37600000"/>
    <x v="12"/>
    <n v="1"/>
  </r>
  <r>
    <x v="27"/>
    <x v="1"/>
    <x v="5"/>
    <n v="34400000"/>
    <x v="12"/>
    <n v="2"/>
  </r>
  <r>
    <x v="27"/>
    <x v="1"/>
    <x v="0"/>
    <n v="30100000"/>
    <x v="12"/>
    <n v="3"/>
  </r>
  <r>
    <x v="27"/>
    <x v="2"/>
    <x v="32"/>
    <n v="40100000"/>
    <x v="12"/>
    <n v="1"/>
  </r>
  <r>
    <x v="27"/>
    <x v="2"/>
    <x v="5"/>
    <n v="24900000"/>
    <x v="12"/>
    <n v="2"/>
  </r>
  <r>
    <x v="27"/>
    <x v="2"/>
    <x v="3"/>
    <n v="20400000"/>
    <x v="12"/>
    <n v="3"/>
  </r>
  <r>
    <x v="28"/>
    <x v="0"/>
    <x v="6"/>
    <n v="196000000"/>
    <x v="55"/>
    <n v="1"/>
  </r>
  <r>
    <x v="28"/>
    <x v="0"/>
    <x v="5"/>
    <n v="40400000"/>
    <x v="56"/>
    <n v="2"/>
  </r>
  <r>
    <x v="28"/>
    <x v="0"/>
    <x v="19"/>
    <n v="26900000"/>
    <x v="57"/>
    <n v="3"/>
  </r>
  <r>
    <x v="28"/>
    <x v="1"/>
    <x v="6"/>
    <n v="197000000"/>
    <x v="55"/>
    <n v="1"/>
  </r>
  <r>
    <x v="28"/>
    <x v="1"/>
    <x v="5"/>
    <n v="39300000"/>
    <x v="56"/>
    <n v="2"/>
  </r>
  <r>
    <x v="28"/>
    <x v="1"/>
    <x v="19"/>
    <n v="23300000"/>
    <x v="25"/>
    <n v="3"/>
  </r>
  <r>
    <x v="28"/>
    <x v="2"/>
    <x v="6"/>
    <n v="218000000"/>
    <x v="55"/>
    <n v="1"/>
  </r>
  <r>
    <x v="28"/>
    <x v="2"/>
    <x v="5"/>
    <n v="44100000"/>
    <x v="56"/>
    <n v="2"/>
  </r>
  <r>
    <x v="28"/>
    <x v="2"/>
    <x v="19"/>
    <n v="28200000"/>
    <x v="25"/>
    <n v="3"/>
  </r>
  <r>
    <x v="29"/>
    <x v="0"/>
    <x v="0"/>
    <n v="353000000"/>
    <x v="46"/>
    <n v="1"/>
  </r>
  <r>
    <x v="29"/>
    <x v="0"/>
    <x v="33"/>
    <n v="224000000"/>
    <x v="2"/>
    <n v="2"/>
  </r>
  <r>
    <x v="29"/>
    <x v="0"/>
    <x v="1"/>
    <n v="223000000"/>
    <x v="23"/>
    <n v="3"/>
  </r>
  <r>
    <x v="29"/>
    <x v="1"/>
    <x v="34"/>
    <n v="213000000"/>
    <x v="55"/>
    <n v="1"/>
  </r>
  <r>
    <x v="29"/>
    <x v="1"/>
    <x v="5"/>
    <n v="201000000"/>
    <x v="13"/>
    <n v="2"/>
  </r>
  <r>
    <x v="29"/>
    <x v="1"/>
    <x v="1"/>
    <n v="179000000"/>
    <x v="58"/>
    <n v="3"/>
  </r>
  <r>
    <x v="29"/>
    <x v="2"/>
    <x v="34"/>
    <n v="252000000"/>
    <x v="55"/>
    <n v="1"/>
  </r>
  <r>
    <x v="29"/>
    <x v="2"/>
    <x v="1"/>
    <n v="208000000"/>
    <x v="31"/>
    <n v="2"/>
  </r>
  <r>
    <x v="29"/>
    <x v="2"/>
    <x v="35"/>
    <n v="172000000"/>
    <x v="22"/>
    <n v="3"/>
  </r>
  <r>
    <x v="30"/>
    <x v="0"/>
    <x v="6"/>
    <n v="271000000"/>
    <x v="6"/>
    <n v="1"/>
  </r>
  <r>
    <x v="30"/>
    <x v="0"/>
    <x v="24"/>
    <n v="115000000"/>
    <x v="2"/>
    <n v="2"/>
  </r>
  <r>
    <x v="30"/>
    <x v="0"/>
    <x v="0"/>
    <n v="97900000"/>
    <x v="36"/>
    <n v="3"/>
  </r>
  <r>
    <x v="30"/>
    <x v="1"/>
    <x v="6"/>
    <n v="336000000"/>
    <x v="6"/>
    <n v="1"/>
  </r>
  <r>
    <x v="30"/>
    <x v="1"/>
    <x v="24"/>
    <n v="168000000"/>
    <x v="1"/>
    <n v="2"/>
  </r>
  <r>
    <x v="30"/>
    <x v="1"/>
    <x v="0"/>
    <n v="106000000"/>
    <x v="36"/>
    <n v="3"/>
  </r>
  <r>
    <x v="30"/>
    <x v="2"/>
    <x v="6"/>
    <n v="223000000"/>
    <x v="6"/>
    <n v="1"/>
  </r>
  <r>
    <x v="30"/>
    <x v="2"/>
    <x v="0"/>
    <n v="119000000"/>
    <x v="26"/>
    <n v="2"/>
  </r>
  <r>
    <x v="30"/>
    <x v="2"/>
    <x v="24"/>
    <n v="118000000"/>
    <x v="36"/>
    <n v="3"/>
  </r>
  <r>
    <x v="31"/>
    <x v="0"/>
    <x v="0"/>
    <n v="73000000"/>
    <x v="48"/>
    <n v="1"/>
  </r>
  <r>
    <x v="31"/>
    <x v="0"/>
    <x v="24"/>
    <n v="43800000"/>
    <x v="36"/>
    <n v="2"/>
  </r>
  <r>
    <x v="31"/>
    <x v="0"/>
    <x v="31"/>
    <n v="14000000"/>
    <x v="1"/>
    <n v="3"/>
  </r>
  <r>
    <x v="31"/>
    <x v="1"/>
    <x v="24"/>
    <n v="42400000"/>
    <x v="1"/>
    <n v="1"/>
  </r>
  <r>
    <x v="31"/>
    <x v="1"/>
    <x v="0"/>
    <n v="22600000"/>
    <x v="36"/>
    <n v="2"/>
  </r>
  <r>
    <x v="31"/>
    <x v="1"/>
    <x v="36"/>
    <n v="8800000"/>
    <x v="20"/>
    <n v="3"/>
  </r>
  <r>
    <x v="31"/>
    <x v="2"/>
    <x v="24"/>
    <n v="44000000"/>
    <x v="2"/>
    <n v="1"/>
  </r>
  <r>
    <x v="31"/>
    <x v="2"/>
    <x v="0"/>
    <n v="35100000"/>
    <x v="36"/>
    <n v="2"/>
  </r>
  <r>
    <x v="31"/>
    <x v="2"/>
    <x v="3"/>
    <n v="14200000"/>
    <x v="59"/>
    <n v="3"/>
  </r>
  <r>
    <x v="32"/>
    <x v="0"/>
    <x v="36"/>
    <n v="118000000"/>
    <x v="30"/>
    <n v="1"/>
  </r>
  <r>
    <x v="32"/>
    <x v="0"/>
    <x v="0"/>
    <n v="81500000"/>
    <x v="0"/>
    <n v="2"/>
  </r>
  <r>
    <x v="32"/>
    <x v="0"/>
    <x v="24"/>
    <n v="81300000"/>
    <x v="60"/>
    <n v="3"/>
  </r>
  <r>
    <x v="32"/>
    <x v="1"/>
    <x v="36"/>
    <n v="151000000"/>
    <x v="30"/>
    <n v="1"/>
  </r>
  <r>
    <x v="32"/>
    <x v="1"/>
    <x v="0"/>
    <n v="102000000"/>
    <x v="0"/>
    <n v="2"/>
  </r>
  <r>
    <x v="32"/>
    <x v="1"/>
    <x v="37"/>
    <n v="1700000"/>
    <x v="40"/>
    <n v="3"/>
  </r>
  <r>
    <x v="32"/>
    <x v="2"/>
    <x v="24"/>
    <n v="91800000"/>
    <x v="60"/>
    <n v="1"/>
  </r>
  <r>
    <x v="32"/>
    <x v="2"/>
    <x v="38"/>
    <n v="89500000"/>
    <x v="40"/>
    <n v="2"/>
  </r>
  <r>
    <x v="32"/>
    <x v="2"/>
    <x v="36"/>
    <n v="89500000"/>
    <x v="30"/>
    <n v="3"/>
  </r>
  <r>
    <x v="33"/>
    <x v="0"/>
    <x v="0"/>
    <n v="183000000"/>
    <x v="46"/>
    <n v="1"/>
  </r>
  <r>
    <x v="33"/>
    <x v="0"/>
    <x v="24"/>
    <n v="157000000"/>
    <x v="38"/>
    <n v="2"/>
  </r>
  <r>
    <x v="33"/>
    <x v="0"/>
    <x v="2"/>
    <n v="143000000"/>
    <x v="38"/>
    <n v="3"/>
  </r>
  <r>
    <x v="33"/>
    <x v="1"/>
    <x v="0"/>
    <n v="277000000"/>
    <x v="1"/>
    <n v="1"/>
  </r>
  <r>
    <x v="33"/>
    <x v="1"/>
    <x v="16"/>
    <n v="223000000"/>
    <x v="13"/>
    <n v="2"/>
  </r>
  <r>
    <x v="33"/>
    <x v="1"/>
    <x v="24"/>
    <n v="154000000"/>
    <x v="38"/>
    <n v="3"/>
  </r>
  <r>
    <x v="33"/>
    <x v="2"/>
    <x v="16"/>
    <n v="278000000"/>
    <x v="61"/>
    <n v="1"/>
  </r>
  <r>
    <x v="33"/>
    <x v="2"/>
    <x v="24"/>
    <n v="222000000"/>
    <x v="38"/>
    <n v="2"/>
  </r>
  <r>
    <x v="33"/>
    <x v="2"/>
    <x v="0"/>
    <n v="209000000"/>
    <x v="0"/>
    <n v="3"/>
  </r>
  <r>
    <x v="34"/>
    <x v="0"/>
    <x v="19"/>
    <n v="199000000"/>
    <x v="62"/>
    <n v="1"/>
  </r>
  <r>
    <x v="34"/>
    <x v="0"/>
    <x v="1"/>
    <n v="61800000"/>
    <x v="4"/>
    <n v="2"/>
  </r>
  <r>
    <x v="34"/>
    <x v="0"/>
    <x v="0"/>
    <n v="48000000"/>
    <x v="0"/>
    <n v="3"/>
  </r>
  <r>
    <x v="34"/>
    <x v="1"/>
    <x v="19"/>
    <n v="218000000"/>
    <x v="62"/>
    <n v="1"/>
  </r>
  <r>
    <x v="34"/>
    <x v="1"/>
    <x v="1"/>
    <n v="84800000"/>
    <x v="4"/>
    <n v="2"/>
  </r>
  <r>
    <x v="34"/>
    <x v="1"/>
    <x v="6"/>
    <n v="55000000"/>
    <x v="6"/>
    <n v="3"/>
  </r>
  <r>
    <x v="34"/>
    <x v="2"/>
    <x v="19"/>
    <n v="228000000"/>
    <x v="62"/>
    <n v="1"/>
  </r>
  <r>
    <x v="34"/>
    <x v="2"/>
    <x v="16"/>
    <n v="71600000"/>
    <x v="13"/>
    <n v="2"/>
  </r>
  <r>
    <x v="34"/>
    <x v="2"/>
    <x v="1"/>
    <n v="65200000"/>
    <x v="4"/>
    <n v="3"/>
  </r>
  <r>
    <x v="35"/>
    <x v="0"/>
    <x v="0"/>
    <n v="1510000000"/>
    <x v="0"/>
    <n v="1"/>
  </r>
  <r>
    <x v="35"/>
    <x v="0"/>
    <x v="31"/>
    <n v="586000000"/>
    <x v="1"/>
    <n v="2"/>
  </r>
  <r>
    <x v="35"/>
    <x v="0"/>
    <x v="3"/>
    <n v="566000000"/>
    <x v="63"/>
    <n v="3"/>
  </r>
  <r>
    <x v="35"/>
    <x v="1"/>
    <x v="0"/>
    <n v="2410000000"/>
    <x v="0"/>
    <n v="1"/>
  </r>
  <r>
    <x v="35"/>
    <x v="1"/>
    <x v="39"/>
    <n v="733000000"/>
    <x v="1"/>
    <n v="2"/>
  </r>
  <r>
    <x v="35"/>
    <x v="1"/>
    <x v="3"/>
    <n v="634000000"/>
    <x v="13"/>
    <n v="3"/>
  </r>
  <r>
    <x v="35"/>
    <x v="2"/>
    <x v="0"/>
    <n v="1840000000"/>
    <x v="0"/>
    <n v="1"/>
  </r>
  <r>
    <x v="35"/>
    <x v="2"/>
    <x v="39"/>
    <n v="888000000"/>
    <x v="13"/>
    <n v="2"/>
  </r>
  <r>
    <x v="35"/>
    <x v="2"/>
    <x v="3"/>
    <n v="666000000"/>
    <x v="13"/>
    <n v="3"/>
  </r>
  <r>
    <x v="36"/>
    <x v="0"/>
    <x v="24"/>
    <n v="535000000"/>
    <x v="6"/>
    <n v="1"/>
  </r>
  <r>
    <x v="36"/>
    <x v="0"/>
    <x v="6"/>
    <n v="374000000"/>
    <x v="64"/>
    <n v="2"/>
  </r>
  <r>
    <x v="36"/>
    <x v="0"/>
    <x v="0"/>
    <n v="225000000"/>
    <x v="36"/>
    <n v="3"/>
  </r>
  <r>
    <x v="36"/>
    <x v="1"/>
    <x v="24"/>
    <n v="380000000"/>
    <x v="6"/>
    <n v="1"/>
  </r>
  <r>
    <x v="36"/>
    <x v="1"/>
    <x v="6"/>
    <n v="305000000"/>
    <x v="64"/>
    <n v="2"/>
  </r>
  <r>
    <x v="36"/>
    <x v="1"/>
    <x v="0"/>
    <n v="270000000"/>
    <x v="36"/>
    <n v="3"/>
  </r>
  <r>
    <x v="36"/>
    <x v="2"/>
    <x v="24"/>
    <n v="447000000"/>
    <x v="6"/>
    <n v="1"/>
  </r>
  <r>
    <x v="36"/>
    <x v="2"/>
    <x v="6"/>
    <n v="338000000"/>
    <x v="2"/>
    <n v="2"/>
  </r>
  <r>
    <x v="36"/>
    <x v="2"/>
    <x v="0"/>
    <n v="294000000"/>
    <x v="36"/>
    <n v="3"/>
  </r>
  <r>
    <x v="37"/>
    <x v="0"/>
    <x v="16"/>
    <n v="67099999.999999993"/>
    <x v="12"/>
    <n v="1"/>
  </r>
  <r>
    <x v="37"/>
    <x v="0"/>
    <x v="0"/>
    <n v="49400000"/>
    <x v="2"/>
    <n v="2"/>
  </r>
  <r>
    <x v="37"/>
    <x v="0"/>
    <x v="40"/>
    <n v="43000000"/>
    <x v="13"/>
    <n v="3"/>
  </r>
  <r>
    <x v="37"/>
    <x v="1"/>
    <x v="16"/>
    <n v="76700000"/>
    <x v="12"/>
    <n v="1"/>
  </r>
  <r>
    <x v="37"/>
    <x v="1"/>
    <x v="0"/>
    <n v="51400000"/>
    <x v="65"/>
    <n v="2"/>
  </r>
  <r>
    <x v="37"/>
    <x v="1"/>
    <x v="41"/>
    <n v="44600000"/>
    <x v="12"/>
    <n v="3"/>
  </r>
  <r>
    <x v="37"/>
    <x v="2"/>
    <x v="16"/>
    <n v="125000000"/>
    <x v="12"/>
    <n v="1"/>
  </r>
  <r>
    <x v="37"/>
    <x v="2"/>
    <x v="0"/>
    <n v="44300000"/>
    <x v="56"/>
    <n v="2"/>
  </r>
  <r>
    <x v="37"/>
    <x v="2"/>
    <x v="3"/>
    <n v="41000000"/>
    <x v="12"/>
    <n v="3"/>
  </r>
  <r>
    <x v="38"/>
    <x v="0"/>
    <x v="6"/>
    <n v="459000000"/>
    <x v="6"/>
    <n v="1"/>
  </r>
  <r>
    <x v="38"/>
    <x v="0"/>
    <x v="24"/>
    <n v="118000000"/>
    <x v="60"/>
    <n v="2"/>
  </r>
  <r>
    <x v="38"/>
    <x v="0"/>
    <x v="36"/>
    <n v="50300000"/>
    <x v="30"/>
    <n v="3"/>
  </r>
  <r>
    <x v="38"/>
    <x v="1"/>
    <x v="6"/>
    <n v="534000000"/>
    <x v="6"/>
    <n v="1"/>
  </r>
  <r>
    <x v="38"/>
    <x v="1"/>
    <x v="24"/>
    <n v="69500000"/>
    <x v="38"/>
    <n v="2"/>
  </r>
  <r>
    <x v="38"/>
    <x v="1"/>
    <x v="23"/>
    <n v="47200000"/>
    <x v="33"/>
    <n v="3"/>
  </r>
  <r>
    <x v="38"/>
    <x v="2"/>
    <x v="6"/>
    <n v="312000000"/>
    <x v="6"/>
    <n v="1"/>
  </r>
  <r>
    <x v="38"/>
    <x v="2"/>
    <x v="24"/>
    <n v="66599999.999999993"/>
    <x v="38"/>
    <n v="2"/>
  </r>
  <r>
    <x v="38"/>
    <x v="2"/>
    <x v="23"/>
    <n v="38400000"/>
    <x v="33"/>
    <n v="3"/>
  </r>
  <r>
    <x v="39"/>
    <x v="0"/>
    <x v="0"/>
    <n v="3560000000"/>
    <x v="66"/>
    <n v="1"/>
  </r>
  <r>
    <x v="39"/>
    <x v="0"/>
    <x v="16"/>
    <n v="625000000"/>
    <x v="13"/>
    <n v="2"/>
  </r>
  <r>
    <x v="39"/>
    <x v="0"/>
    <x v="19"/>
    <n v="619000000"/>
    <x v="23"/>
    <n v="3"/>
  </r>
  <r>
    <x v="39"/>
    <x v="1"/>
    <x v="0"/>
    <n v="3250000000"/>
    <x v="39"/>
    <n v="1"/>
  </r>
  <r>
    <x v="39"/>
    <x v="1"/>
    <x v="19"/>
    <n v="784000000"/>
    <x v="22"/>
    <n v="2"/>
  </r>
  <r>
    <x v="39"/>
    <x v="1"/>
    <x v="16"/>
    <n v="647000000"/>
    <x v="13"/>
    <n v="3"/>
  </r>
  <r>
    <x v="39"/>
    <x v="2"/>
    <x v="0"/>
    <n v="2970000000"/>
    <x v="26"/>
    <n v="1"/>
  </r>
  <r>
    <x v="39"/>
    <x v="2"/>
    <x v="16"/>
    <n v="747000000"/>
    <x v="13"/>
    <n v="2"/>
  </r>
  <r>
    <x v="39"/>
    <x v="2"/>
    <x v="19"/>
    <n v="682000000"/>
    <x v="42"/>
    <n v="3"/>
  </r>
  <r>
    <x v="40"/>
    <x v="0"/>
    <x v="16"/>
    <n v="152000000"/>
    <x v="18"/>
    <n v="1"/>
  </r>
  <r>
    <x v="40"/>
    <x v="0"/>
    <x v="24"/>
    <n v="138000000"/>
    <x v="38"/>
    <n v="2"/>
  </r>
  <r>
    <x v="40"/>
    <x v="0"/>
    <x v="6"/>
    <n v="84700000"/>
    <x v="19"/>
    <n v="3"/>
  </r>
  <r>
    <x v="40"/>
    <x v="1"/>
    <x v="24"/>
    <n v="179000000"/>
    <x v="44"/>
    <n v="1"/>
  </r>
  <r>
    <x v="40"/>
    <x v="1"/>
    <x v="16"/>
    <n v="178000000"/>
    <x v="6"/>
    <n v="2"/>
  </r>
  <r>
    <x v="40"/>
    <x v="1"/>
    <x v="6"/>
    <n v="144000000"/>
    <x v="34"/>
    <n v="3"/>
  </r>
  <r>
    <x v="40"/>
    <x v="2"/>
    <x v="3"/>
    <n v="69000000"/>
    <x v="67"/>
    <n v="1"/>
  </r>
  <r>
    <x v="40"/>
    <x v="2"/>
    <x v="19"/>
    <n v="67500000"/>
    <x v="7"/>
    <n v="2"/>
  </r>
  <r>
    <x v="40"/>
    <x v="2"/>
    <x v="16"/>
    <n v="57200000"/>
    <x v="67"/>
    <n v="3"/>
  </r>
  <r>
    <x v="41"/>
    <x v="0"/>
    <x v="6"/>
    <n v="7940000"/>
    <x v="15"/>
    <n v="1"/>
  </r>
  <r>
    <x v="41"/>
    <x v="0"/>
    <x v="17"/>
    <n v="4270000"/>
    <x v="53"/>
    <n v="2"/>
  </r>
  <r>
    <x v="41"/>
    <x v="0"/>
    <x v="4"/>
    <n v="4260000"/>
    <x v="53"/>
    <n v="3"/>
  </r>
  <r>
    <x v="41"/>
    <x v="1"/>
    <x v="6"/>
    <n v="7120000"/>
    <x v="15"/>
    <n v="1"/>
  </r>
  <r>
    <x v="41"/>
    <x v="1"/>
    <x v="25"/>
    <n v="5550000"/>
    <x v="53"/>
    <n v="2"/>
  </r>
  <r>
    <x v="41"/>
    <x v="1"/>
    <x v="42"/>
    <n v="3220000"/>
    <x v="53"/>
    <n v="3"/>
  </r>
  <r>
    <x v="41"/>
    <x v="2"/>
    <x v="6"/>
    <n v="15000000"/>
    <x v="15"/>
    <n v="1"/>
  </r>
  <r>
    <x v="41"/>
    <x v="2"/>
    <x v="25"/>
    <n v="4400000"/>
    <x v="32"/>
    <n v="2"/>
  </r>
  <r>
    <x v="41"/>
    <x v="2"/>
    <x v="43"/>
    <n v="3900000"/>
    <x v="53"/>
    <n v="3"/>
  </r>
  <r>
    <x v="42"/>
    <x v="0"/>
    <x v="6"/>
    <n v="465000000"/>
    <x v="6"/>
    <n v="1"/>
  </r>
  <r>
    <x v="42"/>
    <x v="0"/>
    <x v="25"/>
    <n v="330000000"/>
    <x v="2"/>
    <n v="2"/>
  </r>
  <r>
    <x v="42"/>
    <x v="0"/>
    <x v="36"/>
    <n v="202000000"/>
    <x v="26"/>
    <n v="3"/>
  </r>
  <r>
    <x v="42"/>
    <x v="1"/>
    <x v="6"/>
    <n v="603000000"/>
    <x v="6"/>
    <n v="1"/>
  </r>
  <r>
    <x v="42"/>
    <x v="1"/>
    <x v="25"/>
    <n v="417000000"/>
    <x v="0"/>
    <n v="2"/>
  </r>
  <r>
    <x v="42"/>
    <x v="1"/>
    <x v="36"/>
    <n v="0"/>
    <x v="26"/>
    <n v="3"/>
  </r>
  <r>
    <x v="42"/>
    <x v="2"/>
    <x v="6"/>
    <n v="612000000"/>
    <x v="55"/>
    <n v="1"/>
  </r>
  <r>
    <x v="42"/>
    <x v="2"/>
    <x v="4"/>
    <n v="340000000"/>
    <x v="0"/>
    <n v="2"/>
  </r>
  <r>
    <x v="42"/>
    <x v="2"/>
    <x v="36"/>
    <n v="238000000"/>
    <x v="26"/>
    <n v="3"/>
  </r>
  <r>
    <x v="43"/>
    <x v="0"/>
    <x v="19"/>
    <n v="139000000"/>
    <x v="63"/>
    <n v="1"/>
  </r>
  <r>
    <x v="43"/>
    <x v="0"/>
    <x v="29"/>
    <n v="8670000"/>
    <x v="53"/>
    <n v="2"/>
  </r>
  <r>
    <x v="43"/>
    <x v="0"/>
    <x v="44"/>
    <n v="6510000"/>
    <x v="68"/>
    <n v="3"/>
  </r>
  <r>
    <x v="43"/>
    <x v="1"/>
    <x v="19"/>
    <n v="165000000"/>
    <x v="63"/>
    <n v="1"/>
  </r>
  <r>
    <x v="43"/>
    <x v="1"/>
    <x v="6"/>
    <n v="7580000"/>
    <x v="13"/>
    <n v="2"/>
  </r>
  <r>
    <x v="43"/>
    <x v="1"/>
    <x v="5"/>
    <n v="7070000"/>
    <x v="6"/>
    <n v="3"/>
  </r>
  <r>
    <x v="43"/>
    <x v="2"/>
    <x v="19"/>
    <n v="158000000"/>
    <x v="63"/>
    <n v="1"/>
  </r>
  <r>
    <x v="43"/>
    <x v="2"/>
    <x v="44"/>
    <n v="11200000"/>
    <x v="68"/>
    <n v="2"/>
  </r>
  <r>
    <x v="43"/>
    <x v="2"/>
    <x v="5"/>
    <n v="9460000"/>
    <x v="13"/>
    <n v="3"/>
  </r>
  <r>
    <x v="44"/>
    <x v="0"/>
    <x v="45"/>
    <n v="130000000"/>
    <x v="55"/>
    <n v="1"/>
  </r>
  <r>
    <x v="44"/>
    <x v="0"/>
    <x v="5"/>
    <n v="37100000"/>
    <x v="5"/>
    <n v="2"/>
  </r>
  <r>
    <x v="44"/>
    <x v="0"/>
    <x v="4"/>
    <n v="25700000"/>
    <x v="33"/>
    <n v="3"/>
  </r>
  <r>
    <x v="44"/>
    <x v="1"/>
    <x v="45"/>
    <n v="160000000"/>
    <x v="55"/>
    <n v="1"/>
  </r>
  <r>
    <x v="44"/>
    <x v="1"/>
    <x v="4"/>
    <n v="32600000"/>
    <x v="33"/>
    <n v="2"/>
  </r>
  <r>
    <x v="44"/>
    <x v="1"/>
    <x v="40"/>
    <n v="30400000"/>
    <x v="5"/>
    <n v="3"/>
  </r>
  <r>
    <x v="44"/>
    <x v="2"/>
    <x v="45"/>
    <n v="256000000"/>
    <x v="55"/>
    <n v="1"/>
  </r>
  <r>
    <x v="44"/>
    <x v="2"/>
    <x v="5"/>
    <n v="27800000"/>
    <x v="5"/>
    <n v="2"/>
  </r>
  <r>
    <x v="44"/>
    <x v="2"/>
    <x v="4"/>
    <n v="19500000"/>
    <x v="33"/>
    <n v="3"/>
  </r>
  <r>
    <x v="45"/>
    <x v="0"/>
    <x v="34"/>
    <n v="345000000"/>
    <x v="55"/>
    <n v="1"/>
  </r>
  <r>
    <x v="45"/>
    <x v="0"/>
    <x v="45"/>
    <n v="197000000"/>
    <x v="6"/>
    <n v="2"/>
  </r>
  <r>
    <x v="45"/>
    <x v="0"/>
    <x v="46"/>
    <n v="182000000"/>
    <x v="69"/>
    <n v="3"/>
  </r>
  <r>
    <x v="45"/>
    <x v="1"/>
    <x v="34"/>
    <n v="421000000"/>
    <x v="55"/>
    <n v="1"/>
  </r>
  <r>
    <x v="45"/>
    <x v="1"/>
    <x v="46"/>
    <n v="272000000"/>
    <x v="6"/>
    <n v="2"/>
  </r>
  <r>
    <x v="45"/>
    <x v="1"/>
    <x v="45"/>
    <n v="243000000"/>
    <x v="6"/>
    <n v="3"/>
  </r>
  <r>
    <x v="45"/>
    <x v="2"/>
    <x v="34"/>
    <n v="226000000"/>
    <x v="55"/>
    <n v="1"/>
  </r>
  <r>
    <x v="45"/>
    <x v="2"/>
    <x v="45"/>
    <n v="226000000"/>
    <x v="6"/>
    <n v="2"/>
  </r>
  <r>
    <x v="45"/>
    <x v="2"/>
    <x v="46"/>
    <n v="202000000"/>
    <x v="36"/>
    <n v="3"/>
  </r>
  <r>
    <x v="46"/>
    <x v="0"/>
    <x v="24"/>
    <n v="507000000"/>
    <x v="44"/>
    <n v="1"/>
  </r>
  <r>
    <x v="46"/>
    <x v="0"/>
    <x v="6"/>
    <n v="502000000"/>
    <x v="27"/>
    <n v="2"/>
  </r>
  <r>
    <x v="46"/>
    <x v="0"/>
    <x v="0"/>
    <n v="457000000"/>
    <x v="48"/>
    <n v="3"/>
  </r>
  <r>
    <x v="46"/>
    <x v="1"/>
    <x v="0"/>
    <n v="627000000"/>
    <x v="48"/>
    <n v="1"/>
  </r>
  <r>
    <x v="46"/>
    <x v="1"/>
    <x v="6"/>
    <n v="477000000"/>
    <x v="27"/>
    <n v="2"/>
  </r>
  <r>
    <x v="46"/>
    <x v="1"/>
    <x v="5"/>
    <n v="296000000"/>
    <x v="13"/>
    <n v="3"/>
  </r>
  <r>
    <x v="46"/>
    <x v="2"/>
    <x v="0"/>
    <n v="621000000"/>
    <x v="26"/>
    <n v="1"/>
  </r>
  <r>
    <x v="46"/>
    <x v="2"/>
    <x v="6"/>
    <n v="618000000"/>
    <x v="27"/>
    <n v="2"/>
  </r>
  <r>
    <x v="46"/>
    <x v="2"/>
    <x v="16"/>
    <n v="283000000"/>
    <x v="70"/>
    <n v="3"/>
  </r>
  <r>
    <x v="47"/>
    <x v="0"/>
    <x v="47"/>
    <n v="40500000"/>
    <x v="67"/>
    <n v="1"/>
  </r>
  <r>
    <x v="47"/>
    <x v="0"/>
    <x v="46"/>
    <n v="35800000"/>
    <x v="67"/>
    <n v="2"/>
  </r>
  <r>
    <x v="47"/>
    <x v="0"/>
    <x v="4"/>
    <n v="28200000"/>
    <x v="67"/>
    <n v="3"/>
  </r>
  <r>
    <x v="47"/>
    <x v="1"/>
    <x v="46"/>
    <n v="53200000"/>
    <x v="67"/>
    <n v="1"/>
  </r>
  <r>
    <x v="47"/>
    <x v="1"/>
    <x v="4"/>
    <n v="48900000"/>
    <x v="67"/>
    <n v="2"/>
  </r>
  <r>
    <x v="47"/>
    <x v="1"/>
    <x v="48"/>
    <n v="46800000"/>
    <x v="67"/>
    <n v="3"/>
  </r>
  <r>
    <x v="47"/>
    <x v="2"/>
    <x v="49"/>
    <n v="43700000"/>
    <x v="67"/>
    <n v="1"/>
  </r>
  <r>
    <x v="47"/>
    <x v="2"/>
    <x v="4"/>
    <n v="42900000"/>
    <x v="67"/>
    <n v="2"/>
  </r>
  <r>
    <x v="47"/>
    <x v="2"/>
    <x v="50"/>
    <n v="39100000"/>
    <x v="67"/>
    <n v="3"/>
  </r>
  <r>
    <x v="48"/>
    <x v="0"/>
    <x v="34"/>
    <n v="889000000"/>
    <x v="55"/>
    <n v="1"/>
  </r>
  <r>
    <x v="48"/>
    <x v="0"/>
    <x v="4"/>
    <n v="508000000"/>
    <x v="2"/>
    <n v="2"/>
  </r>
  <r>
    <x v="48"/>
    <x v="0"/>
    <x v="41"/>
    <n v="142000000"/>
    <x v="2"/>
    <n v="3"/>
  </r>
  <r>
    <x v="48"/>
    <x v="1"/>
    <x v="34"/>
    <n v="989000000"/>
    <x v="55"/>
    <n v="1"/>
  </r>
  <r>
    <x v="48"/>
    <x v="1"/>
    <x v="4"/>
    <n v="505000000"/>
    <x v="64"/>
    <n v="2"/>
  </r>
  <r>
    <x v="48"/>
    <x v="1"/>
    <x v="51"/>
    <n v="142000000"/>
    <x v="69"/>
    <n v="3"/>
  </r>
  <r>
    <x v="48"/>
    <x v="2"/>
    <x v="34"/>
    <n v="794000000"/>
    <x v="55"/>
    <n v="1"/>
  </r>
  <r>
    <x v="48"/>
    <x v="2"/>
    <x v="52"/>
    <n v="329000000"/>
    <x v="54"/>
    <n v="2"/>
  </r>
  <r>
    <x v="48"/>
    <x v="2"/>
    <x v="4"/>
    <n v="121000000"/>
    <x v="3"/>
    <n v="3"/>
  </r>
  <r>
    <x v="49"/>
    <x v="0"/>
    <x v="46"/>
    <n v="333000000"/>
    <x v="44"/>
    <n v="1"/>
  </r>
  <r>
    <x v="49"/>
    <x v="0"/>
    <x v="45"/>
    <n v="233000000"/>
    <x v="6"/>
    <n v="2"/>
  </r>
  <r>
    <x v="49"/>
    <x v="0"/>
    <x v="16"/>
    <n v="106000000"/>
    <x v="13"/>
    <n v="3"/>
  </r>
  <r>
    <x v="49"/>
    <x v="1"/>
    <x v="46"/>
    <n v="346000000"/>
    <x v="44"/>
    <n v="1"/>
  </r>
  <r>
    <x v="49"/>
    <x v="1"/>
    <x v="6"/>
    <n v="298000000"/>
    <x v="6"/>
    <n v="2"/>
  </r>
  <r>
    <x v="49"/>
    <x v="1"/>
    <x v="16"/>
    <n v="125000000"/>
    <x v="13"/>
    <n v="3"/>
  </r>
  <r>
    <x v="49"/>
    <x v="2"/>
    <x v="6"/>
    <n v="427000000"/>
    <x v="6"/>
    <n v="1"/>
  </r>
  <r>
    <x v="49"/>
    <x v="2"/>
    <x v="24"/>
    <n v="357000000"/>
    <x v="36"/>
    <n v="2"/>
  </r>
  <r>
    <x v="49"/>
    <x v="2"/>
    <x v="16"/>
    <n v="153000000"/>
    <x v="13"/>
    <n v="3"/>
  </r>
  <r>
    <x v="50"/>
    <x v="0"/>
    <x v="0"/>
    <n v="564000000"/>
    <x v="46"/>
    <n v="1"/>
  </r>
  <r>
    <x v="50"/>
    <x v="0"/>
    <x v="8"/>
    <n v="299000000"/>
    <x v="5"/>
    <n v="2"/>
  </r>
  <r>
    <x v="50"/>
    <x v="0"/>
    <x v="33"/>
    <n v="275000000"/>
    <x v="2"/>
    <n v="3"/>
  </r>
  <r>
    <x v="50"/>
    <x v="1"/>
    <x v="4"/>
    <n v="867000000"/>
    <x v="71"/>
    <n v="1"/>
  </r>
  <r>
    <x v="50"/>
    <x v="1"/>
    <x v="8"/>
    <n v="289000000"/>
    <x v="5"/>
    <n v="2"/>
  </r>
  <r>
    <x v="50"/>
    <x v="1"/>
    <x v="33"/>
    <n v="257000000"/>
    <x v="72"/>
    <n v="3"/>
  </r>
  <r>
    <x v="50"/>
    <x v="2"/>
    <x v="4"/>
    <n v="628000000"/>
    <x v="2"/>
    <n v="1"/>
  </r>
  <r>
    <x v="50"/>
    <x v="2"/>
    <x v="53"/>
    <n v="411000000"/>
    <x v="2"/>
    <n v="2"/>
  </r>
  <r>
    <x v="50"/>
    <x v="2"/>
    <x v="10"/>
    <n v="318000000"/>
    <x v="13"/>
    <n v="3"/>
  </r>
  <r>
    <x v="51"/>
    <x v="0"/>
    <x v="46"/>
    <n v="336000000"/>
    <x v="36"/>
    <n v="1"/>
  </r>
  <r>
    <x v="51"/>
    <x v="0"/>
    <x v="4"/>
    <n v="237000000"/>
    <x v="2"/>
    <n v="2"/>
  </r>
  <r>
    <x v="51"/>
    <x v="0"/>
    <x v="45"/>
    <n v="125000000"/>
    <x v="19"/>
    <n v="3"/>
  </r>
  <r>
    <x v="51"/>
    <x v="1"/>
    <x v="46"/>
    <n v="376000000"/>
    <x v="36"/>
    <n v="1"/>
  </r>
  <r>
    <x v="51"/>
    <x v="1"/>
    <x v="4"/>
    <n v="203000000"/>
    <x v="2"/>
    <n v="2"/>
  </r>
  <r>
    <x v="51"/>
    <x v="1"/>
    <x v="45"/>
    <n v="146000000"/>
    <x v="19"/>
    <n v="3"/>
  </r>
  <r>
    <x v="51"/>
    <x v="2"/>
    <x v="46"/>
    <n v="336000000"/>
    <x v="36"/>
    <n v="1"/>
  </r>
  <r>
    <x v="51"/>
    <x v="2"/>
    <x v="4"/>
    <n v="237000000"/>
    <x v="2"/>
    <n v="2"/>
  </r>
  <r>
    <x v="51"/>
    <x v="2"/>
    <x v="45"/>
    <n v="125000000"/>
    <x v="19"/>
    <n v="3"/>
  </r>
  <r>
    <x v="52"/>
    <x v="0"/>
    <x v="24"/>
    <n v="228000000"/>
    <x v="44"/>
    <n v="1"/>
  </r>
  <r>
    <x v="52"/>
    <x v="0"/>
    <x v="0"/>
    <n v="202000000"/>
    <x v="2"/>
    <n v="2"/>
  </r>
  <r>
    <x v="52"/>
    <x v="0"/>
    <x v="16"/>
    <n v="161000000"/>
    <x v="6"/>
    <n v="3"/>
  </r>
  <r>
    <x v="52"/>
    <x v="1"/>
    <x v="0"/>
    <n v="287000000"/>
    <x v="48"/>
    <n v="1"/>
  </r>
  <r>
    <x v="52"/>
    <x v="1"/>
    <x v="16"/>
    <n v="217000000"/>
    <x v="6"/>
    <n v="2"/>
  </r>
  <r>
    <x v="52"/>
    <x v="1"/>
    <x v="24"/>
    <n v="148000000"/>
    <x v="36"/>
    <n v="3"/>
  </r>
  <r>
    <x v="52"/>
    <x v="2"/>
    <x v="0"/>
    <n v="466000000"/>
    <x v="2"/>
    <n v="1"/>
  </r>
  <r>
    <x v="52"/>
    <x v="2"/>
    <x v="24"/>
    <n v="333000000"/>
    <x v="36"/>
    <n v="2"/>
  </r>
  <r>
    <x v="52"/>
    <x v="2"/>
    <x v="16"/>
    <n v="204000000"/>
    <x v="6"/>
    <n v="3"/>
  </r>
  <r>
    <x v="53"/>
    <x v="0"/>
    <x v="19"/>
    <n v="118000000"/>
    <x v="73"/>
    <n v="1"/>
  </r>
  <r>
    <x v="53"/>
    <x v="0"/>
    <x v="24"/>
    <n v="112000000"/>
    <x v="36"/>
    <n v="2"/>
  </r>
  <r>
    <x v="53"/>
    <x v="0"/>
    <x v="2"/>
    <n v="38000000"/>
    <x v="12"/>
    <n v="3"/>
  </r>
  <r>
    <x v="53"/>
    <x v="1"/>
    <x v="19"/>
    <n v="140000000"/>
    <x v="73"/>
    <n v="1"/>
  </r>
  <r>
    <x v="53"/>
    <x v="1"/>
    <x v="24"/>
    <n v="76300000"/>
    <x v="36"/>
    <n v="2"/>
  </r>
  <r>
    <x v="53"/>
    <x v="1"/>
    <x v="2"/>
    <n v="57000000"/>
    <x v="12"/>
    <n v="3"/>
  </r>
  <r>
    <x v="53"/>
    <x v="2"/>
    <x v="19"/>
    <n v="161000000"/>
    <x v="73"/>
    <n v="1"/>
  </r>
  <r>
    <x v="53"/>
    <x v="2"/>
    <x v="24"/>
    <n v="78700000"/>
    <x v="36"/>
    <n v="2"/>
  </r>
  <r>
    <x v="53"/>
    <x v="2"/>
    <x v="54"/>
    <n v="42100000"/>
    <x v="12"/>
    <n v="3"/>
  </r>
  <r>
    <x v="54"/>
    <x v="0"/>
    <x v="2"/>
    <n v="220000000"/>
    <x v="74"/>
    <n v="1"/>
  </r>
  <r>
    <x v="54"/>
    <x v="0"/>
    <x v="6"/>
    <n v="134000000"/>
    <x v="34"/>
    <n v="2"/>
  </r>
  <r>
    <x v="54"/>
    <x v="0"/>
    <x v="3"/>
    <n v="112000000"/>
    <x v="12"/>
    <n v="3"/>
  </r>
  <r>
    <x v="54"/>
    <x v="1"/>
    <x v="2"/>
    <n v="289000000"/>
    <x v="74"/>
    <n v="1"/>
  </r>
  <r>
    <x v="54"/>
    <x v="1"/>
    <x v="6"/>
    <n v="164000000"/>
    <x v="34"/>
    <n v="2"/>
  </r>
  <r>
    <x v="54"/>
    <x v="1"/>
    <x v="0"/>
    <n v="155000000"/>
    <x v="12"/>
    <n v="3"/>
  </r>
  <r>
    <x v="54"/>
    <x v="2"/>
    <x v="2"/>
    <n v="208000000"/>
    <x v="75"/>
    <n v="1"/>
  </r>
  <r>
    <x v="54"/>
    <x v="2"/>
    <x v="6"/>
    <n v="174000000"/>
    <x v="6"/>
    <n v="2"/>
  </r>
  <r>
    <x v="54"/>
    <x v="2"/>
    <x v="3"/>
    <n v="147000000"/>
    <x v="12"/>
    <n v="3"/>
  </r>
  <r>
    <x v="55"/>
    <x v="3"/>
    <x v="55"/>
    <m/>
    <x v="7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x v="0"/>
    <n v="275000000"/>
    <x v="0"/>
    <n v="1"/>
  </r>
  <r>
    <x v="0"/>
    <x v="0"/>
    <x v="1"/>
    <n v="143000000"/>
    <x v="1"/>
    <n v="2"/>
  </r>
  <r>
    <x v="0"/>
    <x v="0"/>
    <x v="2"/>
    <n v="30300000"/>
    <x v="2"/>
    <n v="3"/>
  </r>
  <r>
    <x v="0"/>
    <x v="1"/>
    <x v="0"/>
    <n v="155000000"/>
    <x v="0"/>
    <n v="1"/>
  </r>
  <r>
    <x v="0"/>
    <x v="1"/>
    <x v="1"/>
    <n v="127000000"/>
    <x v="3"/>
    <n v="2"/>
  </r>
  <r>
    <x v="0"/>
    <x v="1"/>
    <x v="2"/>
    <n v="47900000"/>
    <x v="2"/>
    <n v="3"/>
  </r>
  <r>
    <x v="0"/>
    <x v="2"/>
    <x v="0"/>
    <n v="200000000"/>
    <x v="4"/>
    <n v="1"/>
  </r>
  <r>
    <x v="0"/>
    <x v="2"/>
    <x v="1"/>
    <n v="132000000"/>
    <x v="3"/>
    <n v="2"/>
  </r>
  <r>
    <x v="0"/>
    <x v="2"/>
    <x v="3"/>
    <n v="19500000"/>
    <x v="2"/>
    <n v="3"/>
  </r>
  <r>
    <x v="1"/>
    <x v="0"/>
    <x v="4"/>
    <n v="32100000"/>
    <x v="5"/>
    <n v="1"/>
  </r>
  <r>
    <x v="1"/>
    <x v="0"/>
    <x v="5"/>
    <n v="28100000"/>
    <x v="2"/>
    <n v="2"/>
  </r>
  <r>
    <x v="1"/>
    <x v="0"/>
    <x v="6"/>
    <n v="25500000"/>
    <x v="6"/>
    <n v="3"/>
  </r>
  <r>
    <x v="1"/>
    <x v="1"/>
    <x v="7"/>
    <n v="27900000"/>
    <x v="7"/>
    <n v="1"/>
  </r>
  <r>
    <x v="1"/>
    <x v="1"/>
    <x v="7"/>
    <n v="8199999.9999999991"/>
    <x v="3"/>
    <n v="2"/>
  </r>
  <r>
    <x v="1"/>
    <x v="1"/>
    <x v="5"/>
    <n v="26600000"/>
    <x v="2"/>
    <n v="3"/>
  </r>
  <r>
    <x v="1"/>
    <x v="2"/>
    <x v="7"/>
    <n v="46700000"/>
    <x v="8"/>
    <n v="1"/>
  </r>
  <r>
    <x v="1"/>
    <x v="2"/>
    <x v="5"/>
    <n v="25200000"/>
    <x v="2"/>
    <n v="2"/>
  </r>
  <r>
    <x v="1"/>
    <x v="2"/>
    <x v="4"/>
    <n v="22000000"/>
    <x v="5"/>
    <n v="3"/>
  </r>
  <r>
    <x v="2"/>
    <x v="0"/>
    <x v="8"/>
    <n v="618000000"/>
    <x v="9"/>
    <n v="1"/>
  </r>
  <r>
    <x v="2"/>
    <x v="0"/>
    <x v="9"/>
    <n v="264000000"/>
    <x v="10"/>
    <n v="2"/>
  </r>
  <r>
    <x v="2"/>
    <x v="0"/>
    <x v="10"/>
    <n v="155000000"/>
    <x v="11"/>
    <n v="3"/>
  </r>
  <r>
    <x v="2"/>
    <x v="1"/>
    <x v="8"/>
    <n v="599000000"/>
    <x v="9"/>
    <n v="1"/>
  </r>
  <r>
    <x v="2"/>
    <x v="1"/>
    <x v="10"/>
    <n v="292000000"/>
    <x v="9"/>
    <n v="2"/>
  </r>
  <r>
    <x v="2"/>
    <x v="1"/>
    <x v="9"/>
    <n v="266000000"/>
    <x v="10"/>
    <n v="3"/>
  </r>
  <r>
    <x v="2"/>
    <x v="2"/>
    <x v="8"/>
    <n v="490000000"/>
    <x v="9"/>
    <n v="1"/>
  </r>
  <r>
    <x v="2"/>
    <x v="2"/>
    <x v="9"/>
    <n v="142000000"/>
    <x v="10"/>
    <n v="2"/>
  </r>
  <r>
    <x v="2"/>
    <x v="2"/>
    <x v="10"/>
    <n v="113000000"/>
    <x v="11"/>
    <n v="3"/>
  </r>
  <r>
    <x v="3"/>
    <x v="0"/>
    <x v="11"/>
    <n v="139000000"/>
    <x v="12"/>
    <n v="1"/>
  </r>
  <r>
    <x v="3"/>
    <x v="0"/>
    <x v="12"/>
    <n v="11300000"/>
    <x v="13"/>
    <n v="2"/>
  </r>
  <r>
    <x v="3"/>
    <x v="0"/>
    <x v="13"/>
    <n v="10800000"/>
    <x v="12"/>
    <n v="3"/>
  </r>
  <r>
    <x v="3"/>
    <x v="1"/>
    <x v="11"/>
    <n v="178000000"/>
    <x v="12"/>
    <n v="1"/>
  </r>
  <r>
    <x v="3"/>
    <x v="1"/>
    <x v="12"/>
    <n v="19900000"/>
    <x v="13"/>
    <n v="2"/>
  </r>
  <r>
    <x v="3"/>
    <x v="1"/>
    <x v="13"/>
    <n v="19900000"/>
    <x v="12"/>
    <n v="3"/>
  </r>
  <r>
    <x v="3"/>
    <x v="2"/>
    <x v="11"/>
    <n v="50300000"/>
    <x v="12"/>
    <n v="1"/>
  </r>
  <r>
    <x v="3"/>
    <x v="2"/>
    <x v="12"/>
    <n v="21900000"/>
    <x v="13"/>
    <n v="2"/>
  </r>
  <r>
    <x v="3"/>
    <x v="2"/>
    <x v="13"/>
    <n v="5980000"/>
    <x v="12"/>
    <n v="3"/>
  </r>
  <r>
    <x v="4"/>
    <x v="0"/>
    <x v="14"/>
    <n v="526000000"/>
    <x v="14"/>
    <n v="1"/>
  </r>
  <r>
    <x v="4"/>
    <x v="0"/>
    <x v="15"/>
    <n v="115000000"/>
    <x v="5"/>
    <n v="2"/>
  </r>
  <r>
    <x v="4"/>
    <x v="0"/>
    <x v="16"/>
    <n v="95700000"/>
    <x v="15"/>
    <n v="3"/>
  </r>
  <r>
    <x v="4"/>
    <x v="1"/>
    <x v="14"/>
    <n v="517000000"/>
    <x v="14"/>
    <n v="1"/>
  </r>
  <r>
    <x v="4"/>
    <x v="1"/>
    <x v="15"/>
    <n v="189000000"/>
    <x v="15"/>
    <n v="2"/>
  </r>
  <r>
    <x v="4"/>
    <x v="1"/>
    <x v="16"/>
    <n v="157000000"/>
    <x v="10"/>
    <n v="3"/>
  </r>
  <r>
    <x v="4"/>
    <x v="2"/>
    <x v="14"/>
    <n v="262000000"/>
    <x v="16"/>
    <n v="1"/>
  </r>
  <r>
    <x v="4"/>
    <x v="2"/>
    <x v="15"/>
    <n v="184000000"/>
    <x v="17"/>
    <n v="2"/>
  </r>
  <r>
    <x v="4"/>
    <x v="2"/>
    <x v="16"/>
    <n v="154000000"/>
    <x v="10"/>
    <n v="3"/>
  </r>
  <r>
    <x v="5"/>
    <x v="0"/>
    <x v="17"/>
    <n v="41800000"/>
    <x v="18"/>
    <n v="1"/>
  </r>
  <r>
    <x v="5"/>
    <x v="0"/>
    <x v="18"/>
    <n v="23900000"/>
    <x v="19"/>
    <n v="2"/>
  </r>
  <r>
    <x v="5"/>
    <x v="0"/>
    <x v="1"/>
    <n v="1030000"/>
    <x v="20"/>
    <n v="3"/>
  </r>
  <r>
    <x v="5"/>
    <x v="1"/>
    <x v="17"/>
    <n v="36200000"/>
    <x v="18"/>
    <n v="1"/>
  </r>
  <r>
    <x v="5"/>
    <x v="1"/>
    <x v="18"/>
    <n v="26500000"/>
    <x v="11"/>
    <n v="2"/>
  </r>
  <r>
    <x v="5"/>
    <x v="1"/>
    <x v="6"/>
    <n v="1760000"/>
    <x v="21"/>
    <n v="3"/>
  </r>
  <r>
    <x v="5"/>
    <x v="2"/>
    <x v="17"/>
    <n v="132000000"/>
    <x v="18"/>
    <n v="1"/>
  </r>
  <r>
    <x v="5"/>
    <x v="2"/>
    <x v="18"/>
    <n v="11700000"/>
    <x v="11"/>
    <n v="2"/>
  </r>
  <r>
    <x v="5"/>
    <x v="2"/>
    <x v="16"/>
    <n v="152000"/>
    <x v="14"/>
    <n v="3"/>
  </r>
  <r>
    <x v="6"/>
    <x v="0"/>
    <x v="19"/>
    <n v="53100000"/>
    <x v="2"/>
    <n v="1"/>
  </r>
  <r>
    <x v="6"/>
    <x v="0"/>
    <x v="20"/>
    <n v="5720000"/>
    <x v="6"/>
    <n v="2"/>
  </r>
  <r>
    <x v="6"/>
    <x v="0"/>
    <x v="21"/>
    <n v="5530000"/>
    <x v="2"/>
    <n v="3"/>
  </r>
  <r>
    <x v="6"/>
    <x v="1"/>
    <x v="19"/>
    <n v="51900000"/>
    <x v="2"/>
    <n v="1"/>
  </r>
  <r>
    <x v="6"/>
    <x v="1"/>
    <x v="21"/>
    <n v="7480000"/>
    <x v="2"/>
    <n v="2"/>
  </r>
  <r>
    <x v="6"/>
    <x v="1"/>
    <x v="22"/>
    <n v="5680000"/>
    <x v="2"/>
    <n v="3"/>
  </r>
  <r>
    <x v="6"/>
    <x v="2"/>
    <x v="19"/>
    <n v="56100000"/>
    <x v="2"/>
    <n v="1"/>
  </r>
  <r>
    <x v="6"/>
    <x v="2"/>
    <x v="20"/>
    <n v="8620000"/>
    <x v="2"/>
    <n v="2"/>
  </r>
  <r>
    <x v="6"/>
    <x v="2"/>
    <x v="21"/>
    <n v="5680000"/>
    <x v="2"/>
    <n v="3"/>
  </r>
  <r>
    <x v="7"/>
    <x v="0"/>
    <x v="23"/>
    <n v="572000000"/>
    <x v="22"/>
    <n v="1"/>
  </r>
  <r>
    <x v="7"/>
    <x v="0"/>
    <x v="14"/>
    <n v="250000000"/>
    <x v="9"/>
    <n v="2"/>
  </r>
  <r>
    <x v="7"/>
    <x v="0"/>
    <x v="24"/>
    <n v="153000000"/>
    <x v="23"/>
    <n v="3"/>
  </r>
  <r>
    <x v="7"/>
    <x v="1"/>
    <x v="23"/>
    <n v="482400000"/>
    <x v="22"/>
    <n v="1"/>
  </r>
  <r>
    <x v="7"/>
    <x v="1"/>
    <x v="24"/>
    <n v="159000000"/>
    <x v="24"/>
    <n v="2"/>
  </r>
  <r>
    <x v="7"/>
    <x v="1"/>
    <x v="25"/>
    <n v="121000000"/>
    <x v="1"/>
    <n v="3"/>
  </r>
  <r>
    <x v="7"/>
    <x v="2"/>
    <x v="23"/>
    <n v="719000000"/>
    <x v="22"/>
    <n v="1"/>
  </r>
  <r>
    <x v="7"/>
    <x v="2"/>
    <x v="24"/>
    <n v="140000000"/>
    <x v="1"/>
    <n v="2"/>
  </r>
  <r>
    <x v="7"/>
    <x v="2"/>
    <x v="26"/>
    <n v="128000000"/>
    <x v="25"/>
    <n v="3"/>
  </r>
  <r>
    <x v="8"/>
    <x v="0"/>
    <x v="27"/>
    <n v="115000"/>
    <x v="26"/>
    <n v="1"/>
  </r>
  <r>
    <x v="8"/>
    <x v="0"/>
    <x v="28"/>
    <n v="50000"/>
    <x v="27"/>
    <n v="2"/>
  </r>
  <r>
    <x v="8"/>
    <x v="0"/>
    <x v="29"/>
    <n v="20000"/>
    <x v="27"/>
    <n v="3"/>
  </r>
  <r>
    <x v="8"/>
    <x v="1"/>
    <x v="30"/>
    <n v="1400000"/>
    <x v="28"/>
    <n v="1"/>
  </r>
  <r>
    <x v="8"/>
    <x v="1"/>
    <x v="31"/>
    <n v="68000"/>
    <x v="10"/>
    <n v="2"/>
  </r>
  <r>
    <x v="8"/>
    <x v="1"/>
    <x v="32"/>
    <n v="20000"/>
    <x v="1"/>
    <n v="3"/>
  </r>
  <r>
    <x v="8"/>
    <x v="2"/>
    <x v="33"/>
    <n v="943000"/>
    <x v="2"/>
    <n v="1"/>
  </r>
  <r>
    <x v="8"/>
    <x v="2"/>
    <x v="30"/>
    <n v="905000"/>
    <x v="28"/>
    <n v="2"/>
  </r>
  <r>
    <x v="8"/>
    <x v="2"/>
    <x v="27"/>
    <n v="262000"/>
    <x v="26"/>
    <n v="3"/>
  </r>
  <r>
    <x v="9"/>
    <x v="0"/>
    <x v="15"/>
    <n v="131000000"/>
    <x v="8"/>
    <n v="1"/>
  </r>
  <r>
    <x v="9"/>
    <x v="0"/>
    <x v="34"/>
    <n v="20400000"/>
    <x v="1"/>
    <n v="2"/>
  </r>
  <r>
    <x v="9"/>
    <x v="0"/>
    <x v="14"/>
    <n v="6970000"/>
    <x v="29"/>
    <n v="3"/>
  </r>
  <r>
    <x v="9"/>
    <x v="1"/>
    <x v="15"/>
    <n v="115000000"/>
    <x v="8"/>
    <n v="1"/>
  </r>
  <r>
    <x v="9"/>
    <x v="1"/>
    <x v="14"/>
    <n v="31900000"/>
    <x v="29"/>
    <n v="2"/>
  </r>
  <r>
    <x v="9"/>
    <x v="1"/>
    <x v="34"/>
    <n v="31000000"/>
    <x v="1"/>
    <n v="3"/>
  </r>
  <r>
    <x v="9"/>
    <x v="2"/>
    <x v="15"/>
    <n v="169000000"/>
    <x v="8"/>
    <n v="1"/>
  </r>
  <r>
    <x v="9"/>
    <x v="2"/>
    <x v="34"/>
    <n v="27800000"/>
    <x v="1"/>
    <n v="2"/>
  </r>
  <r>
    <x v="9"/>
    <x v="2"/>
    <x v="14"/>
    <n v="11900000"/>
    <x v="11"/>
    <n v="3"/>
  </r>
  <r>
    <x v="10"/>
    <x v="0"/>
    <x v="35"/>
    <n v="19800000"/>
    <x v="10"/>
    <n v="1"/>
  </r>
  <r>
    <x v="10"/>
    <x v="0"/>
    <x v="36"/>
    <n v="10300000"/>
    <x v="1"/>
    <n v="2"/>
  </r>
  <r>
    <x v="10"/>
    <x v="0"/>
    <x v="37"/>
    <n v="5690000"/>
    <x v="18"/>
    <n v="3"/>
  </r>
  <r>
    <x v="10"/>
    <x v="1"/>
    <x v="35"/>
    <n v="13800000"/>
    <x v="10"/>
    <n v="1"/>
  </r>
  <r>
    <x v="10"/>
    <x v="1"/>
    <x v="36"/>
    <n v="6400000"/>
    <x v="1"/>
    <n v="2"/>
  </r>
  <r>
    <x v="10"/>
    <x v="1"/>
    <x v="37"/>
    <n v="4700000"/>
    <x v="1"/>
    <n v="3"/>
  </r>
  <r>
    <x v="10"/>
    <x v="2"/>
    <x v="35"/>
    <n v="65599999.999999993"/>
    <x v="29"/>
    <n v="1"/>
  </r>
  <r>
    <x v="10"/>
    <x v="2"/>
    <x v="36"/>
    <n v="5010000"/>
    <x v="1"/>
    <n v="2"/>
  </r>
  <r>
    <x v="10"/>
    <x v="2"/>
    <x v="37"/>
    <n v="3450000"/>
    <x v="30"/>
    <n v="3"/>
  </r>
  <r>
    <x v="11"/>
    <x v="0"/>
    <x v="23"/>
    <n v="41900000"/>
    <x v="10"/>
    <n v="1"/>
  </r>
  <r>
    <x v="11"/>
    <x v="0"/>
    <x v="17"/>
    <n v="13800000"/>
    <x v="31"/>
    <n v="2"/>
  </r>
  <r>
    <x v="11"/>
    <x v="0"/>
    <x v="0"/>
    <n v="6590000"/>
    <x v="32"/>
    <n v="3"/>
  </r>
  <r>
    <x v="11"/>
    <x v="1"/>
    <x v="23"/>
    <n v="22000000"/>
    <x v="33"/>
    <n v="1"/>
  </r>
  <r>
    <x v="11"/>
    <x v="1"/>
    <x v="17"/>
    <n v="13200000"/>
    <x v="31"/>
    <n v="2"/>
  </r>
  <r>
    <x v="11"/>
    <x v="1"/>
    <x v="38"/>
    <n v="6540000"/>
    <x v="3"/>
    <n v="3"/>
  </r>
  <r>
    <x v="11"/>
    <x v="2"/>
    <x v="23"/>
    <n v="32000000"/>
    <x v="25"/>
    <n v="1"/>
  </r>
  <r>
    <x v="11"/>
    <x v="2"/>
    <x v="17"/>
    <n v="11100000"/>
    <x v="31"/>
    <n v="2"/>
  </r>
  <r>
    <x v="11"/>
    <x v="2"/>
    <x v="6"/>
    <n v="5600000"/>
    <x v="3"/>
    <n v="3"/>
  </r>
  <r>
    <x v="12"/>
    <x v="0"/>
    <x v="23"/>
    <n v="3200000000"/>
    <x v="25"/>
    <n v="1"/>
  </r>
  <r>
    <x v="12"/>
    <x v="0"/>
    <x v="39"/>
    <n v="1600000000"/>
    <x v="28"/>
    <n v="2"/>
  </r>
  <r>
    <x v="12"/>
    <x v="0"/>
    <x v="40"/>
    <n v="817300000"/>
    <x v="34"/>
    <n v="3"/>
  </r>
  <r>
    <x v="12"/>
    <x v="1"/>
    <x v="23"/>
    <n v="4300000000"/>
    <x v="25"/>
    <n v="1"/>
  </r>
  <r>
    <x v="12"/>
    <x v="1"/>
    <x v="39"/>
    <n v="1400000000"/>
    <x v="28"/>
    <n v="2"/>
  </r>
  <r>
    <x v="12"/>
    <x v="1"/>
    <x v="40"/>
    <n v="937100000"/>
    <x v="34"/>
    <n v="3"/>
  </r>
  <r>
    <x v="12"/>
    <x v="2"/>
    <x v="23"/>
    <n v="3300000000"/>
    <x v="25"/>
    <n v="1"/>
  </r>
  <r>
    <x v="12"/>
    <x v="2"/>
    <x v="39"/>
    <n v="1700000000"/>
    <x v="28"/>
    <n v="2"/>
  </r>
  <r>
    <x v="12"/>
    <x v="2"/>
    <x v="40"/>
    <n v="1000000000"/>
    <x v="34"/>
    <n v="3"/>
  </r>
  <r>
    <x v="13"/>
    <x v="0"/>
    <x v="23"/>
    <n v="109000000"/>
    <x v="10"/>
    <n v="1"/>
  </r>
  <r>
    <x v="13"/>
    <x v="0"/>
    <x v="17"/>
    <n v="29200000"/>
    <x v="31"/>
    <n v="2"/>
  </r>
  <r>
    <x v="13"/>
    <x v="0"/>
    <x v="6"/>
    <n v="16400000"/>
    <x v="3"/>
    <n v="3"/>
  </r>
  <r>
    <x v="13"/>
    <x v="1"/>
    <x v="23"/>
    <n v="102000000"/>
    <x v="10"/>
    <n v="1"/>
  </r>
  <r>
    <x v="13"/>
    <x v="1"/>
    <x v="17"/>
    <n v="34200000"/>
    <x v="31"/>
    <n v="2"/>
  </r>
  <r>
    <x v="13"/>
    <x v="1"/>
    <x v="6"/>
    <n v="16000000"/>
    <x v="3"/>
    <n v="3"/>
  </r>
  <r>
    <x v="13"/>
    <x v="2"/>
    <x v="23"/>
    <n v="109000000"/>
    <x v="10"/>
    <n v="1"/>
  </r>
  <r>
    <x v="13"/>
    <x v="2"/>
    <x v="17"/>
    <n v="29200000"/>
    <x v="31"/>
    <n v="2"/>
  </r>
  <r>
    <x v="13"/>
    <x v="2"/>
    <x v="6"/>
    <n v="16400000"/>
    <x v="3"/>
    <n v="3"/>
  </r>
  <r>
    <x v="14"/>
    <x v="0"/>
    <x v="27"/>
    <n v="649500000"/>
    <x v="35"/>
    <n v="1"/>
  </r>
  <r>
    <x v="14"/>
    <x v="0"/>
    <x v="41"/>
    <n v="407000000"/>
    <x v="35"/>
    <n v="2"/>
  </r>
  <r>
    <x v="14"/>
    <x v="0"/>
    <x v="42"/>
    <n v="284600000"/>
    <x v="35"/>
    <n v="3"/>
  </r>
  <r>
    <x v="14"/>
    <x v="1"/>
    <x v="27"/>
    <n v="546500000"/>
    <x v="35"/>
    <n v="1"/>
  </r>
  <r>
    <x v="14"/>
    <x v="1"/>
    <x v="41"/>
    <n v="272000000"/>
    <x v="35"/>
    <n v="2"/>
  </r>
  <r>
    <x v="14"/>
    <x v="1"/>
    <x v="42"/>
    <n v="252700000"/>
    <x v="35"/>
    <n v="3"/>
  </r>
  <r>
    <x v="14"/>
    <x v="2"/>
    <x v="27"/>
    <n v="539000000"/>
    <x v="35"/>
    <n v="1"/>
  </r>
  <r>
    <x v="14"/>
    <x v="2"/>
    <x v="41"/>
    <n v="424200000"/>
    <x v="35"/>
    <n v="2"/>
  </r>
  <r>
    <x v="14"/>
    <x v="2"/>
    <x v="42"/>
    <n v="388200000"/>
    <x v="35"/>
    <n v="3"/>
  </r>
  <r>
    <x v="15"/>
    <x v="0"/>
    <x v="43"/>
    <n v="635300000"/>
    <x v="36"/>
    <n v="1"/>
  </r>
  <r>
    <x v="15"/>
    <x v="0"/>
    <x v="33"/>
    <n v="369700000"/>
    <x v="37"/>
    <n v="2"/>
  </r>
  <r>
    <x v="15"/>
    <x v="0"/>
    <x v="44"/>
    <n v="338900000"/>
    <x v="28"/>
    <n v="3"/>
  </r>
  <r>
    <x v="15"/>
    <x v="1"/>
    <x v="43"/>
    <n v="576100000"/>
    <x v="36"/>
    <n v="1"/>
  </r>
  <r>
    <x v="15"/>
    <x v="1"/>
    <x v="33"/>
    <n v="411600000"/>
    <x v="37"/>
    <n v="2"/>
  </r>
  <r>
    <x v="15"/>
    <x v="1"/>
    <x v="44"/>
    <n v="265500000"/>
    <x v="18"/>
    <n v="3"/>
  </r>
  <r>
    <x v="15"/>
    <x v="2"/>
    <x v="43"/>
    <n v="798000000"/>
    <x v="36"/>
    <n v="1"/>
  </r>
  <r>
    <x v="15"/>
    <x v="2"/>
    <x v="33"/>
    <n v="439700000"/>
    <x v="37"/>
    <n v="2"/>
  </r>
  <r>
    <x v="15"/>
    <x v="2"/>
    <x v="44"/>
    <n v="426500000"/>
    <x v="28"/>
    <n v="3"/>
  </r>
  <r>
    <x v="16"/>
    <x v="0"/>
    <x v="23"/>
    <n v="1480000"/>
    <x v="2"/>
    <n v="1"/>
  </r>
  <r>
    <x v="16"/>
    <x v="0"/>
    <x v="45"/>
    <n v="214000"/>
    <x v="38"/>
    <n v="2"/>
  </r>
  <r>
    <x v="16"/>
    <x v="0"/>
    <x v="19"/>
    <n v="166000"/>
    <x v="38"/>
    <n v="3"/>
  </r>
  <r>
    <x v="16"/>
    <x v="1"/>
    <x v="23"/>
    <n v="1950000"/>
    <x v="2"/>
    <n v="1"/>
  </r>
  <r>
    <x v="16"/>
    <x v="1"/>
    <x v="46"/>
    <n v="563000"/>
    <x v="39"/>
    <n v="2"/>
  </r>
  <r>
    <x v="16"/>
    <x v="1"/>
    <x v="45"/>
    <n v="87800"/>
    <x v="39"/>
    <n v="3"/>
  </r>
  <r>
    <x v="16"/>
    <x v="2"/>
    <x v="23"/>
    <n v="1350000"/>
    <x v="2"/>
    <n v="1"/>
  </r>
  <r>
    <x v="16"/>
    <x v="2"/>
    <x v="47"/>
    <m/>
    <x v="40"/>
    <n v="2"/>
  </r>
  <r>
    <x v="16"/>
    <x v="2"/>
    <x v="47"/>
    <m/>
    <x v="40"/>
    <n v="3"/>
  </r>
  <r>
    <x v="17"/>
    <x v="0"/>
    <x v="48"/>
    <n v="462000"/>
    <x v="5"/>
    <n v="1"/>
  </r>
  <r>
    <x v="17"/>
    <x v="0"/>
    <x v="3"/>
    <n v="254000"/>
    <x v="15"/>
    <n v="2"/>
  </r>
  <r>
    <x v="17"/>
    <x v="0"/>
    <x v="49"/>
    <n v="252000"/>
    <x v="41"/>
    <n v="3"/>
  </r>
  <r>
    <x v="17"/>
    <x v="1"/>
    <x v="49"/>
    <n v="17400000"/>
    <x v="41"/>
    <n v="1"/>
  </r>
  <r>
    <x v="17"/>
    <x v="1"/>
    <x v="3"/>
    <n v="62700"/>
    <x v="15"/>
    <n v="2"/>
  </r>
  <r>
    <x v="17"/>
    <x v="1"/>
    <x v="47"/>
    <m/>
    <x v="40"/>
    <n v="3"/>
  </r>
  <r>
    <x v="17"/>
    <x v="2"/>
    <x v="48"/>
    <n v="462000"/>
    <x v="5"/>
    <n v="1"/>
  </r>
  <r>
    <x v="17"/>
    <x v="2"/>
    <x v="3"/>
    <n v="254000"/>
    <x v="15"/>
    <n v="2"/>
  </r>
  <r>
    <x v="17"/>
    <x v="2"/>
    <x v="49"/>
    <n v="252000"/>
    <x v="41"/>
    <n v="3"/>
  </r>
  <r>
    <x v="18"/>
    <x v="0"/>
    <x v="0"/>
    <n v="313000000"/>
    <x v="12"/>
    <n v="1"/>
  </r>
  <r>
    <x v="18"/>
    <x v="0"/>
    <x v="50"/>
    <n v="36800000"/>
    <x v="12"/>
    <n v="2"/>
  </r>
  <r>
    <x v="18"/>
    <x v="0"/>
    <x v="51"/>
    <n v="34000000"/>
    <x v="12"/>
    <n v="3"/>
  </r>
  <r>
    <x v="18"/>
    <x v="1"/>
    <x v="0"/>
    <n v="384200000"/>
    <x v="12"/>
    <n v="1"/>
  </r>
  <r>
    <x v="18"/>
    <x v="1"/>
    <x v="50"/>
    <n v="32900000"/>
    <x v="12"/>
    <n v="2"/>
  </r>
  <r>
    <x v="18"/>
    <x v="1"/>
    <x v="51"/>
    <n v="32900000"/>
    <x v="12"/>
    <n v="3"/>
  </r>
  <r>
    <x v="18"/>
    <x v="2"/>
    <x v="0"/>
    <n v="368900000"/>
    <x v="12"/>
    <n v="1"/>
  </r>
  <r>
    <x v="18"/>
    <x v="2"/>
    <x v="50"/>
    <n v="44100000"/>
    <x v="12"/>
    <n v="2"/>
  </r>
  <r>
    <x v="18"/>
    <x v="2"/>
    <x v="51"/>
    <n v="38700000"/>
    <x v="12"/>
    <n v="3"/>
  </r>
  <r>
    <x v="19"/>
    <x v="0"/>
    <x v="17"/>
    <n v="1500000000"/>
    <x v="18"/>
    <n v="1"/>
  </r>
  <r>
    <x v="19"/>
    <x v="0"/>
    <x v="52"/>
    <n v="261600000"/>
    <x v="25"/>
    <n v="2"/>
  </r>
  <r>
    <x v="19"/>
    <x v="0"/>
    <x v="53"/>
    <n v="232500000"/>
    <x v="42"/>
    <n v="3"/>
  </r>
  <r>
    <x v="19"/>
    <x v="1"/>
    <x v="17"/>
    <n v="1200000000"/>
    <x v="18"/>
    <n v="1"/>
  </r>
  <r>
    <x v="19"/>
    <x v="1"/>
    <x v="52"/>
    <n v="296300000"/>
    <x v="25"/>
    <n v="2"/>
  </r>
  <r>
    <x v="19"/>
    <x v="1"/>
    <x v="31"/>
    <n v="286000000"/>
    <x v="43"/>
    <n v="3"/>
  </r>
  <r>
    <x v="19"/>
    <x v="2"/>
    <x v="17"/>
    <n v="1200000000"/>
    <x v="37"/>
    <n v="1"/>
  </r>
  <r>
    <x v="19"/>
    <x v="2"/>
    <x v="52"/>
    <n v="268100000"/>
    <x v="25"/>
    <n v="2"/>
  </r>
  <r>
    <x v="19"/>
    <x v="2"/>
    <x v="31"/>
    <n v="233200000"/>
    <x v="43"/>
    <n v="3"/>
  </r>
  <r>
    <x v="20"/>
    <x v="0"/>
    <x v="27"/>
    <n v="137100000"/>
    <x v="38"/>
    <n v="1"/>
  </r>
  <r>
    <x v="20"/>
    <x v="0"/>
    <x v="39"/>
    <n v="13800000"/>
    <x v="33"/>
    <n v="2"/>
  </r>
  <r>
    <x v="20"/>
    <x v="0"/>
    <x v="54"/>
    <n v="8800000"/>
    <x v="2"/>
    <n v="3"/>
  </r>
  <r>
    <x v="20"/>
    <x v="1"/>
    <x v="27"/>
    <n v="72600000"/>
    <x v="38"/>
    <n v="1"/>
  </r>
  <r>
    <x v="20"/>
    <x v="1"/>
    <x v="39"/>
    <n v="10000000"/>
    <x v="1"/>
    <n v="2"/>
  </r>
  <r>
    <x v="20"/>
    <x v="1"/>
    <x v="54"/>
    <n v="8500000"/>
    <x v="2"/>
    <n v="3"/>
  </r>
  <r>
    <x v="20"/>
    <x v="2"/>
    <x v="27"/>
    <n v="96800000"/>
    <x v="38"/>
    <n v="1"/>
  </r>
  <r>
    <x v="20"/>
    <x v="2"/>
    <x v="39"/>
    <n v="20200000"/>
    <x v="33"/>
    <n v="2"/>
  </r>
  <r>
    <x v="20"/>
    <x v="2"/>
    <x v="55"/>
    <n v="8500000"/>
    <x v="44"/>
    <n v="3"/>
  </r>
  <r>
    <x v="21"/>
    <x v="0"/>
    <x v="56"/>
    <n v="31000000"/>
    <x v="10"/>
    <n v="1"/>
  </r>
  <r>
    <x v="21"/>
    <x v="0"/>
    <x v="4"/>
    <n v="13200000"/>
    <x v="44"/>
    <n v="2"/>
  </r>
  <r>
    <x v="21"/>
    <x v="0"/>
    <x v="3"/>
    <n v="7480000"/>
    <x v="31"/>
    <n v="3"/>
  </r>
  <r>
    <x v="21"/>
    <x v="1"/>
    <x v="56"/>
    <n v="40200000"/>
    <x v="10"/>
    <n v="1"/>
  </r>
  <r>
    <x v="21"/>
    <x v="1"/>
    <x v="20"/>
    <n v="15200000"/>
    <x v="31"/>
    <n v="2"/>
  </r>
  <r>
    <x v="21"/>
    <x v="1"/>
    <x v="57"/>
    <n v="12300000"/>
    <x v="45"/>
    <n v="3"/>
  </r>
  <r>
    <x v="21"/>
    <x v="2"/>
    <x v="58"/>
    <n v="25700000"/>
    <x v="46"/>
    <n v="1"/>
  </r>
  <r>
    <x v="21"/>
    <x v="2"/>
    <x v="16"/>
    <n v="23500000"/>
    <x v="10"/>
    <n v="2"/>
  </r>
  <r>
    <x v="21"/>
    <x v="2"/>
    <x v="59"/>
    <n v="16300000"/>
    <x v="28"/>
    <n v="3"/>
  </r>
  <r>
    <x v="22"/>
    <x v="0"/>
    <x v="23"/>
    <n v="1720000000"/>
    <x v="25"/>
    <n v="1"/>
  </r>
  <r>
    <x v="22"/>
    <x v="0"/>
    <x v="60"/>
    <n v="518000000"/>
    <x v="22"/>
    <n v="2"/>
  </r>
  <r>
    <x v="22"/>
    <x v="0"/>
    <x v="16"/>
    <n v="503000000"/>
    <x v="21"/>
    <n v="3"/>
  </r>
  <r>
    <x v="22"/>
    <x v="1"/>
    <x v="23"/>
    <n v="1130000000"/>
    <x v="25"/>
    <n v="1"/>
  </r>
  <r>
    <x v="22"/>
    <x v="1"/>
    <x v="16"/>
    <n v="537000000"/>
    <x v="10"/>
    <n v="2"/>
  </r>
  <r>
    <x v="22"/>
    <x v="1"/>
    <x v="26"/>
    <n v="481000000"/>
    <x v="25"/>
    <n v="3"/>
  </r>
  <r>
    <x v="22"/>
    <x v="2"/>
    <x v="23"/>
    <n v="1100000000"/>
    <x v="25"/>
    <n v="1"/>
  </r>
  <r>
    <x v="22"/>
    <x v="2"/>
    <x v="61"/>
    <n v="440000000"/>
    <x v="25"/>
    <n v="2"/>
  </r>
  <r>
    <x v="22"/>
    <x v="2"/>
    <x v="16"/>
    <n v="356000000"/>
    <x v="10"/>
    <n v="3"/>
  </r>
  <r>
    <x v="23"/>
    <x v="0"/>
    <x v="23"/>
    <n v="67200000"/>
    <x v="25"/>
    <n v="1"/>
  </r>
  <r>
    <x v="23"/>
    <x v="0"/>
    <x v="4"/>
    <n v="57400000"/>
    <x v="47"/>
    <n v="2"/>
  </r>
  <r>
    <x v="23"/>
    <x v="0"/>
    <x v="56"/>
    <n v="53500000"/>
    <x v="10"/>
    <n v="3"/>
  </r>
  <r>
    <x v="23"/>
    <x v="1"/>
    <x v="56"/>
    <n v="101000000"/>
    <x v="10"/>
    <n v="1"/>
  </r>
  <r>
    <x v="23"/>
    <x v="1"/>
    <x v="23"/>
    <n v="76900000"/>
    <x v="25"/>
    <n v="2"/>
  </r>
  <r>
    <x v="23"/>
    <x v="1"/>
    <x v="4"/>
    <n v="50800000"/>
    <x v="47"/>
    <n v="3"/>
  </r>
  <r>
    <x v="23"/>
    <x v="2"/>
    <x v="23"/>
    <n v="216000000"/>
    <x v="25"/>
    <n v="1"/>
  </r>
  <r>
    <x v="23"/>
    <x v="2"/>
    <x v="56"/>
    <n v="73800000"/>
    <x v="10"/>
    <n v="2"/>
  </r>
  <r>
    <x v="23"/>
    <x v="2"/>
    <x v="4"/>
    <n v="13500000"/>
    <x v="48"/>
    <n v="3"/>
  </r>
  <r>
    <x v="24"/>
    <x v="0"/>
    <x v="56"/>
    <n v="145000000"/>
    <x v="10"/>
    <n v="1"/>
  </r>
  <r>
    <x v="24"/>
    <x v="0"/>
    <x v="62"/>
    <n v="31700000"/>
    <x v="7"/>
    <n v="2"/>
  </r>
  <r>
    <x v="24"/>
    <x v="0"/>
    <x v="15"/>
    <n v="1900000"/>
    <x v="8"/>
    <n v="3"/>
  </r>
  <r>
    <x v="24"/>
    <x v="1"/>
    <x v="56"/>
    <n v="206000000"/>
    <x v="10"/>
    <n v="1"/>
  </r>
  <r>
    <x v="24"/>
    <x v="1"/>
    <x v="4"/>
    <n v="16200000"/>
    <x v="7"/>
    <n v="2"/>
  </r>
  <r>
    <x v="24"/>
    <x v="1"/>
    <x v="57"/>
    <n v="654000"/>
    <x v="45"/>
    <n v="3"/>
  </r>
  <r>
    <x v="24"/>
    <x v="2"/>
    <x v="56"/>
    <n v="76800000"/>
    <x v="10"/>
    <n v="1"/>
  </r>
  <r>
    <x v="24"/>
    <x v="2"/>
    <x v="57"/>
    <n v="13500000"/>
    <x v="45"/>
    <n v="2"/>
  </r>
  <r>
    <x v="24"/>
    <x v="2"/>
    <x v="4"/>
    <n v="13300000"/>
    <x v="7"/>
    <n v="3"/>
  </r>
  <r>
    <x v="25"/>
    <x v="0"/>
    <x v="18"/>
    <n v="1400000000"/>
    <x v="19"/>
    <n v="1"/>
  </r>
  <r>
    <x v="25"/>
    <x v="0"/>
    <x v="52"/>
    <n v="735400000"/>
    <x v="25"/>
    <n v="2"/>
  </r>
  <r>
    <x v="25"/>
    <x v="0"/>
    <x v="17"/>
    <n v="315000000"/>
    <x v="30"/>
    <n v="3"/>
  </r>
  <r>
    <x v="25"/>
    <x v="1"/>
    <x v="18"/>
    <n v="1200000000"/>
    <x v="19"/>
    <n v="1"/>
  </r>
  <r>
    <x v="25"/>
    <x v="1"/>
    <x v="52"/>
    <n v="827300000"/>
    <x v="25"/>
    <n v="2"/>
  </r>
  <r>
    <x v="25"/>
    <x v="1"/>
    <x v="17"/>
    <n v="238300000"/>
    <x v="23"/>
    <n v="3"/>
  </r>
  <r>
    <x v="25"/>
    <x v="2"/>
    <x v="18"/>
    <n v="1300000000"/>
    <x v="19"/>
    <n v="1"/>
  </r>
  <r>
    <x v="25"/>
    <x v="2"/>
    <x v="52"/>
    <n v="781700000"/>
    <x v="25"/>
    <n v="2"/>
  </r>
  <r>
    <x v="25"/>
    <x v="2"/>
    <x v="17"/>
    <n v="246700000"/>
    <x v="30"/>
    <n v="3"/>
  </r>
  <r>
    <x v="26"/>
    <x v="0"/>
    <x v="48"/>
    <n v="13600000"/>
    <x v="12"/>
    <n v="1"/>
  </r>
  <r>
    <x v="26"/>
    <x v="0"/>
    <x v="63"/>
    <n v="6660000"/>
    <x v="12"/>
    <n v="2"/>
  </r>
  <r>
    <x v="26"/>
    <x v="0"/>
    <x v="63"/>
    <n v="3620000"/>
    <x v="12"/>
    <n v="3"/>
  </r>
  <r>
    <x v="26"/>
    <x v="1"/>
    <x v="48"/>
    <n v="16300000"/>
    <x v="12"/>
    <n v="1"/>
  </r>
  <r>
    <x v="26"/>
    <x v="1"/>
    <x v="63"/>
    <n v="4950000"/>
    <x v="12"/>
    <n v="2"/>
  </r>
  <r>
    <x v="26"/>
    <x v="1"/>
    <x v="4"/>
    <n v="4160000"/>
    <x v="12"/>
    <n v="3"/>
  </r>
  <r>
    <x v="26"/>
    <x v="2"/>
    <x v="49"/>
    <n v="14200000"/>
    <x v="12"/>
    <n v="1"/>
  </r>
  <r>
    <x v="26"/>
    <x v="2"/>
    <x v="62"/>
    <n v="5050000"/>
    <x v="12"/>
    <n v="2"/>
  </r>
  <r>
    <x v="26"/>
    <x v="2"/>
    <x v="63"/>
    <n v="4170000"/>
    <x v="12"/>
    <n v="3"/>
  </r>
  <r>
    <x v="27"/>
    <x v="0"/>
    <x v="27"/>
    <n v="78800000"/>
    <x v="38"/>
    <n v="1"/>
  </r>
  <r>
    <x v="27"/>
    <x v="0"/>
    <x v="23"/>
    <n v="41200000"/>
    <x v="25"/>
    <n v="2"/>
  </r>
  <r>
    <x v="27"/>
    <x v="0"/>
    <x v="64"/>
    <n v="4530000"/>
    <x v="25"/>
    <n v="3"/>
  </r>
  <r>
    <x v="27"/>
    <x v="1"/>
    <x v="27"/>
    <n v="113000000"/>
    <x v="25"/>
    <n v="1"/>
  </r>
  <r>
    <x v="27"/>
    <x v="1"/>
    <x v="23"/>
    <n v="49200000"/>
    <x v="25"/>
    <n v="2"/>
  </r>
  <r>
    <x v="27"/>
    <x v="1"/>
    <x v="65"/>
    <n v="9260000"/>
    <x v="10"/>
    <n v="3"/>
  </r>
  <r>
    <x v="27"/>
    <x v="2"/>
    <x v="27"/>
    <n v="71200000"/>
    <x v="7"/>
    <n v="1"/>
  </r>
  <r>
    <x v="27"/>
    <x v="2"/>
    <x v="23"/>
    <n v="55100000"/>
    <x v="25"/>
    <n v="2"/>
  </r>
  <r>
    <x v="27"/>
    <x v="2"/>
    <x v="65"/>
    <n v="7410000"/>
    <x v="3"/>
    <n v="3"/>
  </r>
  <r>
    <x v="28"/>
    <x v="0"/>
    <x v="4"/>
    <n v="20000000"/>
    <x v="49"/>
    <n v="1"/>
  </r>
  <r>
    <x v="28"/>
    <x v="0"/>
    <x v="21"/>
    <n v="4150000"/>
    <x v="47"/>
    <n v="2"/>
  </r>
  <r>
    <x v="28"/>
    <x v="0"/>
    <x v="1"/>
    <n v="3250000"/>
    <x v="3"/>
    <n v="3"/>
  </r>
  <r>
    <x v="28"/>
    <x v="1"/>
    <x v="4"/>
    <n v="35300000"/>
    <x v="49"/>
    <n v="1"/>
  </r>
  <r>
    <x v="28"/>
    <x v="1"/>
    <x v="1"/>
    <n v="5870000"/>
    <x v="3"/>
    <n v="2"/>
  </r>
  <r>
    <x v="28"/>
    <x v="1"/>
    <x v="2"/>
    <n v="3430000"/>
    <x v="3"/>
    <n v="3"/>
  </r>
  <r>
    <x v="28"/>
    <x v="2"/>
    <x v="4"/>
    <n v="34500000"/>
    <x v="49"/>
    <n v="1"/>
  </r>
  <r>
    <x v="28"/>
    <x v="2"/>
    <x v="1"/>
    <n v="11300000"/>
    <x v="3"/>
    <n v="2"/>
  </r>
  <r>
    <x v="28"/>
    <x v="2"/>
    <x v="66"/>
    <n v="2910000"/>
    <x v="4"/>
    <n v="3"/>
  </r>
  <r>
    <x v="29"/>
    <x v="0"/>
    <x v="37"/>
    <n v="533400000"/>
    <x v="30"/>
    <n v="1"/>
  </r>
  <r>
    <x v="29"/>
    <x v="0"/>
    <x v="35"/>
    <n v="273000000"/>
    <x v="29"/>
    <n v="2"/>
  </r>
  <r>
    <x v="29"/>
    <x v="0"/>
    <x v="36"/>
    <n v="75500000"/>
    <x v="29"/>
    <n v="3"/>
  </r>
  <r>
    <x v="29"/>
    <x v="1"/>
    <x v="37"/>
    <n v="617300000"/>
    <x v="30"/>
    <n v="1"/>
  </r>
  <r>
    <x v="29"/>
    <x v="1"/>
    <x v="35"/>
    <n v="114900000"/>
    <x v="10"/>
    <n v="2"/>
  </r>
  <r>
    <x v="29"/>
    <x v="1"/>
    <x v="36"/>
    <n v="76600000"/>
    <x v="29"/>
    <n v="3"/>
  </r>
  <r>
    <x v="29"/>
    <x v="2"/>
    <x v="37"/>
    <n v="271700000"/>
    <x v="30"/>
    <n v="1"/>
  </r>
  <r>
    <x v="29"/>
    <x v="2"/>
    <x v="35"/>
    <n v="247800000"/>
    <x v="29"/>
    <n v="2"/>
  </r>
  <r>
    <x v="29"/>
    <x v="2"/>
    <x v="36"/>
    <n v="40800000"/>
    <x v="10"/>
    <n v="3"/>
  </r>
  <r>
    <x v="30"/>
    <x v="0"/>
    <x v="67"/>
    <n v="407600000"/>
    <x v="23"/>
    <n v="1"/>
  </r>
  <r>
    <x v="30"/>
    <x v="0"/>
    <x v="68"/>
    <n v="80500000"/>
    <x v="50"/>
    <n v="2"/>
  </r>
  <r>
    <x v="30"/>
    <x v="0"/>
    <x v="18"/>
    <n v="76300000"/>
    <x v="51"/>
    <n v="3"/>
  </r>
  <r>
    <x v="30"/>
    <x v="1"/>
    <x v="67"/>
    <n v="447400000"/>
    <x v="23"/>
    <n v="1"/>
  </r>
  <r>
    <x v="30"/>
    <x v="1"/>
    <x v="10"/>
    <n v="108100000"/>
    <x v="10"/>
    <n v="2"/>
  </r>
  <r>
    <x v="30"/>
    <x v="1"/>
    <x v="0"/>
    <n v="74100000"/>
    <x v="52"/>
    <n v="3"/>
  </r>
  <r>
    <x v="30"/>
    <x v="2"/>
    <x v="67"/>
    <n v="447200000"/>
    <x v="23"/>
    <n v="1"/>
  </r>
  <r>
    <x v="30"/>
    <x v="2"/>
    <x v="18"/>
    <n v="70600000"/>
    <x v="51"/>
    <n v="2"/>
  </r>
  <r>
    <x v="30"/>
    <x v="2"/>
    <x v="68"/>
    <n v="53800000"/>
    <x v="53"/>
    <n v="3"/>
  </r>
  <r>
    <x v="31"/>
    <x v="0"/>
    <x v="14"/>
    <n v="101000000"/>
    <x v="11"/>
    <n v="1"/>
  </r>
  <r>
    <x v="31"/>
    <x v="0"/>
    <x v="15"/>
    <n v="63200000"/>
    <x v="11"/>
    <n v="2"/>
  </r>
  <r>
    <x v="31"/>
    <x v="0"/>
    <x v="1"/>
    <n v="10500000"/>
    <x v="25"/>
    <n v="3"/>
  </r>
  <r>
    <x v="31"/>
    <x v="1"/>
    <x v="14"/>
    <n v="112000000"/>
    <x v="8"/>
    <n v="1"/>
  </r>
  <r>
    <x v="31"/>
    <x v="1"/>
    <x v="15"/>
    <n v="30200000"/>
    <x v="11"/>
    <n v="2"/>
  </r>
  <r>
    <x v="31"/>
    <x v="1"/>
    <x v="1"/>
    <n v="13400000"/>
    <x v="18"/>
    <n v="3"/>
  </r>
  <r>
    <x v="31"/>
    <x v="2"/>
    <x v="14"/>
    <n v="54300000"/>
    <x v="11"/>
    <n v="1"/>
  </r>
  <r>
    <x v="31"/>
    <x v="2"/>
    <x v="15"/>
    <n v="39100000"/>
    <x v="11"/>
    <n v="2"/>
  </r>
  <r>
    <x v="31"/>
    <x v="2"/>
    <x v="1"/>
    <n v="13100000"/>
    <x v="25"/>
    <n v="3"/>
  </r>
  <r>
    <x v="32"/>
    <x v="0"/>
    <x v="14"/>
    <n v="8500000"/>
    <x v="9"/>
    <n v="1"/>
  </r>
  <r>
    <x v="32"/>
    <x v="0"/>
    <x v="69"/>
    <n v="2200000"/>
    <x v="2"/>
    <n v="2"/>
  </r>
  <r>
    <x v="32"/>
    <x v="0"/>
    <x v="70"/>
    <n v="176000"/>
    <x v="35"/>
    <n v="3"/>
  </r>
  <r>
    <x v="32"/>
    <x v="1"/>
    <x v="71"/>
    <n v="472000"/>
    <x v="44"/>
    <n v="1"/>
  </r>
  <r>
    <x v="32"/>
    <x v="1"/>
    <x v="69"/>
    <n v="242000"/>
    <x v="2"/>
    <n v="2"/>
  </r>
  <r>
    <x v="32"/>
    <x v="1"/>
    <x v="72"/>
    <n v="173000"/>
    <x v="51"/>
    <n v="3"/>
  </r>
  <r>
    <x v="32"/>
    <x v="2"/>
    <x v="69"/>
    <n v="15400000"/>
    <x v="1"/>
    <n v="1"/>
  </r>
  <r>
    <x v="32"/>
    <x v="2"/>
    <x v="14"/>
    <n v="7900000"/>
    <x v="9"/>
    <n v="2"/>
  </r>
  <r>
    <x v="32"/>
    <x v="2"/>
    <x v="73"/>
    <n v="703000"/>
    <x v="2"/>
    <n v="3"/>
  </r>
  <r>
    <x v="33"/>
    <x v="0"/>
    <x v="19"/>
    <n v="258000000"/>
    <x v="24"/>
    <n v="1"/>
  </r>
  <r>
    <x v="33"/>
    <x v="0"/>
    <x v="0"/>
    <n v="258000000"/>
    <x v="24"/>
    <n v="2"/>
  </r>
  <r>
    <x v="33"/>
    <x v="0"/>
    <x v="74"/>
    <n v="64300000"/>
    <x v="30"/>
    <n v="3"/>
  </r>
  <r>
    <x v="33"/>
    <x v="1"/>
    <x v="19"/>
    <n v="290000000"/>
    <x v="24"/>
    <n v="1"/>
  </r>
  <r>
    <x v="33"/>
    <x v="1"/>
    <x v="0"/>
    <n v="217000000"/>
    <x v="31"/>
    <n v="2"/>
  </r>
  <r>
    <x v="33"/>
    <x v="1"/>
    <x v="27"/>
    <n v="82500000"/>
    <x v="54"/>
    <n v="3"/>
  </r>
  <r>
    <x v="33"/>
    <x v="2"/>
    <x v="19"/>
    <n v="302000000"/>
    <x v="24"/>
    <n v="1"/>
  </r>
  <r>
    <x v="33"/>
    <x v="2"/>
    <x v="0"/>
    <n v="272000000"/>
    <x v="31"/>
    <n v="2"/>
  </r>
  <r>
    <x v="33"/>
    <x v="2"/>
    <x v="74"/>
    <n v="103000000"/>
    <x v="30"/>
    <n v="3"/>
  </r>
  <r>
    <x v="34"/>
    <x v="0"/>
    <x v="75"/>
    <n v="1000000000"/>
    <x v="1"/>
    <n v="1"/>
  </r>
  <r>
    <x v="34"/>
    <x v="0"/>
    <x v="76"/>
    <n v="450900000"/>
    <x v="30"/>
    <n v="2"/>
  </r>
  <r>
    <x v="34"/>
    <x v="0"/>
    <x v="42"/>
    <n v="431600000"/>
    <x v="55"/>
    <n v="3"/>
  </r>
  <r>
    <x v="34"/>
    <x v="1"/>
    <x v="75"/>
    <n v="855900000"/>
    <x v="1"/>
    <n v="1"/>
  </r>
  <r>
    <x v="34"/>
    <x v="1"/>
    <x v="76"/>
    <n v="454400000"/>
    <x v="36"/>
    <n v="2"/>
  </r>
  <r>
    <x v="34"/>
    <x v="1"/>
    <x v="42"/>
    <n v="320700000"/>
    <x v="5"/>
    <n v="3"/>
  </r>
  <r>
    <x v="34"/>
    <x v="2"/>
    <x v="75"/>
    <n v="1100000000"/>
    <x v="1"/>
    <n v="1"/>
  </r>
  <r>
    <x v="34"/>
    <x v="2"/>
    <x v="76"/>
    <n v="419000000"/>
    <x v="56"/>
    <n v="2"/>
  </r>
  <r>
    <x v="34"/>
    <x v="2"/>
    <x v="42"/>
    <n v="403800000"/>
    <x v="55"/>
    <n v="3"/>
  </r>
  <r>
    <x v="35"/>
    <x v="0"/>
    <x v="77"/>
    <n v="188600000"/>
    <x v="10"/>
    <n v="1"/>
  </r>
  <r>
    <x v="35"/>
    <x v="0"/>
    <x v="67"/>
    <n v="150500000"/>
    <x v="23"/>
    <n v="2"/>
  </r>
  <r>
    <x v="35"/>
    <x v="0"/>
    <x v="31"/>
    <n v="94800000"/>
    <x v="28"/>
    <n v="3"/>
  </r>
  <r>
    <x v="35"/>
    <x v="1"/>
    <x v="67"/>
    <n v="144800000"/>
    <x v="23"/>
    <n v="1"/>
  </r>
  <r>
    <x v="35"/>
    <x v="1"/>
    <x v="77"/>
    <n v="92900000"/>
    <x v="10"/>
    <n v="2"/>
  </r>
  <r>
    <x v="35"/>
    <x v="1"/>
    <x v="31"/>
    <n v="84000000"/>
    <x v="28"/>
    <n v="3"/>
  </r>
  <r>
    <x v="35"/>
    <x v="2"/>
    <x v="67"/>
    <n v="154100000"/>
    <x v="23"/>
    <n v="1"/>
  </r>
  <r>
    <x v="35"/>
    <x v="2"/>
    <x v="31"/>
    <n v="149700000"/>
    <x v="28"/>
    <n v="2"/>
  </r>
  <r>
    <x v="35"/>
    <x v="2"/>
    <x v="77"/>
    <n v="135600000"/>
    <x v="10"/>
    <n v="3"/>
  </r>
  <r>
    <x v="36"/>
    <x v="0"/>
    <x v="11"/>
    <n v="43900000"/>
    <x v="12"/>
    <n v="1"/>
  </r>
  <r>
    <x v="36"/>
    <x v="0"/>
    <x v="29"/>
    <n v="40100000"/>
    <x v="57"/>
    <n v="2"/>
  </r>
  <r>
    <x v="36"/>
    <x v="0"/>
    <x v="12"/>
    <n v="39500000"/>
    <x v="25"/>
    <n v="3"/>
  </r>
  <r>
    <x v="36"/>
    <x v="1"/>
    <x v="11"/>
    <n v="47300000"/>
    <x v="12"/>
    <n v="1"/>
  </r>
  <r>
    <x v="36"/>
    <x v="1"/>
    <x v="78"/>
    <n v="31000000"/>
    <x v="51"/>
    <n v="2"/>
  </r>
  <r>
    <x v="36"/>
    <x v="1"/>
    <x v="29"/>
    <n v="28700000"/>
    <x v="57"/>
    <n v="3"/>
  </r>
  <r>
    <x v="36"/>
    <x v="2"/>
    <x v="12"/>
    <n v="52700000"/>
    <x v="25"/>
    <n v="1"/>
  </r>
  <r>
    <x v="36"/>
    <x v="2"/>
    <x v="78"/>
    <n v="40800000"/>
    <x v="51"/>
    <n v="2"/>
  </r>
  <r>
    <x v="36"/>
    <x v="2"/>
    <x v="11"/>
    <n v="38700000"/>
    <x v="12"/>
    <n v="3"/>
  </r>
  <r>
    <x v="37"/>
    <x v="0"/>
    <x v="79"/>
    <n v="12700000"/>
    <x v="5"/>
    <n v="1"/>
  </r>
  <r>
    <x v="37"/>
    <x v="0"/>
    <x v="27"/>
    <n v="9600000"/>
    <x v="27"/>
    <n v="2"/>
  </r>
  <r>
    <x v="37"/>
    <x v="0"/>
    <x v="80"/>
    <n v="5400000"/>
    <x v="26"/>
    <n v="3"/>
  </r>
  <r>
    <x v="37"/>
    <x v="1"/>
    <x v="79"/>
    <n v="23500000"/>
    <x v="5"/>
    <n v="1"/>
  </r>
  <r>
    <x v="37"/>
    <x v="1"/>
    <x v="27"/>
    <n v="9600000"/>
    <x v="26"/>
    <n v="2"/>
  </r>
  <r>
    <x v="37"/>
    <x v="1"/>
    <x v="11"/>
    <n v="8300000.0000000009"/>
    <x v="26"/>
    <n v="3"/>
  </r>
  <r>
    <x v="37"/>
    <x v="2"/>
    <x v="79"/>
    <n v="11500000"/>
    <x v="5"/>
    <n v="1"/>
  </r>
  <r>
    <x v="37"/>
    <x v="2"/>
    <x v="81"/>
    <n v="3900000"/>
    <x v="5"/>
    <n v="2"/>
  </r>
  <r>
    <x v="37"/>
    <x v="2"/>
    <x v="11"/>
    <n v="3400000"/>
    <x v="26"/>
    <n v="3"/>
  </r>
  <r>
    <x v="38"/>
    <x v="0"/>
    <x v="23"/>
    <n v="787000000"/>
    <x v="25"/>
    <n v="1"/>
  </r>
  <r>
    <x v="38"/>
    <x v="0"/>
    <x v="16"/>
    <n v="409000000"/>
    <x v="34"/>
    <n v="2"/>
  </r>
  <r>
    <x v="38"/>
    <x v="0"/>
    <x v="15"/>
    <n v="234000000"/>
    <x v="17"/>
    <n v="3"/>
  </r>
  <r>
    <x v="38"/>
    <x v="1"/>
    <x v="23"/>
    <n v="488000000"/>
    <x v="25"/>
    <n v="1"/>
  </r>
  <r>
    <x v="38"/>
    <x v="1"/>
    <x v="16"/>
    <n v="333000000"/>
    <x v="34"/>
    <n v="2"/>
  </r>
  <r>
    <x v="38"/>
    <x v="1"/>
    <x v="15"/>
    <n v="289000000"/>
    <x v="17"/>
    <n v="3"/>
  </r>
  <r>
    <x v="38"/>
    <x v="2"/>
    <x v="23"/>
    <n v="763000000"/>
    <x v="25"/>
    <n v="1"/>
  </r>
  <r>
    <x v="38"/>
    <x v="2"/>
    <x v="16"/>
    <n v="363000000"/>
    <x v="34"/>
    <n v="2"/>
  </r>
  <r>
    <x v="38"/>
    <x v="2"/>
    <x v="15"/>
    <n v="271000000"/>
    <x v="17"/>
    <n v="3"/>
  </r>
  <r>
    <x v="39"/>
    <x v="0"/>
    <x v="18"/>
    <n v="101300000"/>
    <x v="19"/>
    <n v="1"/>
  </r>
  <r>
    <x v="39"/>
    <x v="0"/>
    <x v="17"/>
    <n v="92600000"/>
    <x v="51"/>
    <n v="2"/>
  </r>
  <r>
    <x v="39"/>
    <x v="0"/>
    <x v="82"/>
    <n v="62900000"/>
    <x v="57"/>
    <n v="3"/>
  </r>
  <r>
    <x v="39"/>
    <x v="1"/>
    <x v="18"/>
    <n v="104200000"/>
    <x v="19"/>
    <n v="1"/>
  </r>
  <r>
    <x v="39"/>
    <x v="1"/>
    <x v="17"/>
    <n v="80600000"/>
    <x v="14"/>
    <n v="2"/>
  </r>
  <r>
    <x v="39"/>
    <x v="1"/>
    <x v="27"/>
    <n v="49000000"/>
    <x v="57"/>
    <n v="3"/>
  </r>
  <r>
    <x v="39"/>
    <x v="2"/>
    <x v="17"/>
    <n v="89300000"/>
    <x v="24"/>
    <n v="1"/>
  </r>
  <r>
    <x v="39"/>
    <x v="2"/>
    <x v="18"/>
    <n v="89300000"/>
    <x v="19"/>
    <n v="2"/>
  </r>
  <r>
    <x v="39"/>
    <x v="2"/>
    <x v="83"/>
    <n v="28600000"/>
    <x v="50"/>
    <n v="3"/>
  </r>
  <r>
    <x v="40"/>
    <x v="0"/>
    <x v="27"/>
    <n v="8199999.9999999991"/>
    <x v="25"/>
    <n v="1"/>
  </r>
  <r>
    <x v="40"/>
    <x v="0"/>
    <x v="23"/>
    <n v="8100000"/>
    <x v="25"/>
    <n v="2"/>
  </r>
  <r>
    <x v="40"/>
    <x v="0"/>
    <x v="65"/>
    <n v="324000"/>
    <x v="23"/>
    <n v="3"/>
  </r>
  <r>
    <x v="40"/>
    <x v="1"/>
    <x v="23"/>
    <n v="11400000"/>
    <x v="25"/>
    <n v="1"/>
  </r>
  <r>
    <x v="40"/>
    <x v="1"/>
    <x v="27"/>
    <n v="5800000"/>
    <x v="25"/>
    <n v="2"/>
  </r>
  <r>
    <x v="40"/>
    <x v="1"/>
    <x v="65"/>
    <n v="533000"/>
    <x v="23"/>
    <n v="3"/>
  </r>
  <r>
    <x v="40"/>
    <x v="2"/>
    <x v="23"/>
    <n v="10100000"/>
    <x v="25"/>
    <n v="1"/>
  </r>
  <r>
    <x v="40"/>
    <x v="2"/>
    <x v="27"/>
    <n v="5500000"/>
    <x v="25"/>
    <n v="2"/>
  </r>
  <r>
    <x v="40"/>
    <x v="2"/>
    <x v="84"/>
    <n v="255000"/>
    <x v="1"/>
    <n v="3"/>
  </r>
  <r>
    <x v="41"/>
    <x v="0"/>
    <x v="68"/>
    <n v="338000000"/>
    <x v="11"/>
    <n v="1"/>
  </r>
  <r>
    <x v="41"/>
    <x v="0"/>
    <x v="4"/>
    <n v="312000000"/>
    <x v="7"/>
    <n v="2"/>
  </r>
  <r>
    <x v="41"/>
    <x v="0"/>
    <x v="85"/>
    <n v="150000000"/>
    <x v="58"/>
    <n v="3"/>
  </r>
  <r>
    <x v="41"/>
    <x v="1"/>
    <x v="4"/>
    <n v="287000000"/>
    <x v="7"/>
    <n v="1"/>
  </r>
  <r>
    <x v="41"/>
    <x v="1"/>
    <x v="85"/>
    <n v="162000000"/>
    <x v="58"/>
    <n v="2"/>
  </r>
  <r>
    <x v="41"/>
    <x v="1"/>
    <x v="68"/>
    <n v="159000000"/>
    <x v="11"/>
    <n v="3"/>
  </r>
  <r>
    <x v="41"/>
    <x v="2"/>
    <x v="4"/>
    <n v="284000000"/>
    <x v="7"/>
    <n v="1"/>
  </r>
  <r>
    <x v="41"/>
    <x v="2"/>
    <x v="68"/>
    <n v="165000000"/>
    <x v="11"/>
    <n v="2"/>
  </r>
  <r>
    <x v="41"/>
    <x v="2"/>
    <x v="56"/>
    <n v="151000000"/>
    <x v="10"/>
    <n v="3"/>
  </r>
  <r>
    <x v="42"/>
    <x v="0"/>
    <x v="4"/>
    <n v="297000000"/>
    <x v="17"/>
    <n v="1"/>
  </r>
  <r>
    <x v="42"/>
    <x v="0"/>
    <x v="19"/>
    <n v="272000000"/>
    <x v="1"/>
    <n v="2"/>
  </r>
  <r>
    <x v="42"/>
    <x v="0"/>
    <x v="59"/>
    <n v="8740000"/>
    <x v="59"/>
    <n v="3"/>
  </r>
  <r>
    <x v="42"/>
    <x v="1"/>
    <x v="4"/>
    <n v="325000000"/>
    <x v="17"/>
    <n v="1"/>
  </r>
  <r>
    <x v="42"/>
    <x v="1"/>
    <x v="19"/>
    <n v="251000000"/>
    <x v="1"/>
    <n v="2"/>
  </r>
  <r>
    <x v="42"/>
    <x v="1"/>
    <x v="59"/>
    <n v="10400000"/>
    <x v="59"/>
    <n v="3"/>
  </r>
  <r>
    <x v="42"/>
    <x v="2"/>
    <x v="4"/>
    <n v="308000000"/>
    <x v="60"/>
    <n v="1"/>
  </r>
  <r>
    <x v="42"/>
    <x v="2"/>
    <x v="19"/>
    <n v="280000000"/>
    <x v="1"/>
    <n v="2"/>
  </r>
  <r>
    <x v="42"/>
    <x v="2"/>
    <x v="59"/>
    <n v="17900000"/>
    <x v="59"/>
    <n v="3"/>
  </r>
  <r>
    <x v="43"/>
    <x v="0"/>
    <x v="23"/>
    <n v="43400000"/>
    <x v="25"/>
    <n v="1"/>
  </r>
  <r>
    <x v="43"/>
    <x v="0"/>
    <x v="27"/>
    <n v="26300000"/>
    <x v="44"/>
    <n v="2"/>
  </r>
  <r>
    <x v="43"/>
    <x v="0"/>
    <x v="4"/>
    <n v="10700000"/>
    <x v="47"/>
    <n v="3"/>
  </r>
  <r>
    <x v="43"/>
    <x v="1"/>
    <x v="23"/>
    <n v="41000000"/>
    <x v="25"/>
    <n v="1"/>
  </r>
  <r>
    <x v="43"/>
    <x v="1"/>
    <x v="27"/>
    <n v="27800000"/>
    <x v="44"/>
    <n v="2"/>
  </r>
  <r>
    <x v="43"/>
    <x v="1"/>
    <x v="4"/>
    <n v="10200000"/>
    <x v="47"/>
    <n v="3"/>
  </r>
  <r>
    <x v="43"/>
    <x v="2"/>
    <x v="23"/>
    <n v="50100000"/>
    <x v="25"/>
    <n v="1"/>
  </r>
  <r>
    <x v="43"/>
    <x v="2"/>
    <x v="27"/>
    <n v="12100000"/>
    <x v="25"/>
    <n v="2"/>
  </r>
  <r>
    <x v="43"/>
    <x v="2"/>
    <x v="17"/>
    <n v="3070000"/>
    <x v="14"/>
    <n v="3"/>
  </r>
  <r>
    <x v="44"/>
    <x v="0"/>
    <x v="86"/>
    <n v="213000000"/>
    <x v="61"/>
    <n v="1"/>
  </r>
  <r>
    <x v="44"/>
    <x v="0"/>
    <x v="87"/>
    <n v="37400000"/>
    <x v="61"/>
    <n v="2"/>
  </r>
  <r>
    <x v="44"/>
    <x v="0"/>
    <x v="15"/>
    <n v="35100000"/>
    <x v="8"/>
    <n v="3"/>
  </r>
  <r>
    <x v="44"/>
    <x v="1"/>
    <x v="86"/>
    <n v="279000000"/>
    <x v="37"/>
    <n v="1"/>
  </r>
  <r>
    <x v="44"/>
    <x v="1"/>
    <x v="87"/>
    <n v="39600000"/>
    <x v="61"/>
    <n v="2"/>
  </r>
  <r>
    <x v="44"/>
    <x v="1"/>
    <x v="5"/>
    <n v="21400000"/>
    <x v="62"/>
    <n v="3"/>
  </r>
  <r>
    <x v="44"/>
    <x v="2"/>
    <x v="86"/>
    <n v="377000000"/>
    <x v="37"/>
    <n v="1"/>
  </r>
  <r>
    <x v="44"/>
    <x v="2"/>
    <x v="88"/>
    <n v="74700000"/>
    <x v="37"/>
    <n v="2"/>
  </r>
  <r>
    <x v="44"/>
    <x v="2"/>
    <x v="87"/>
    <n v="43000000"/>
    <x v="61"/>
    <n v="3"/>
  </r>
  <r>
    <x v="45"/>
    <x v="0"/>
    <x v="89"/>
    <n v="1200000000"/>
    <x v="63"/>
    <n v="1"/>
  </r>
  <r>
    <x v="45"/>
    <x v="0"/>
    <x v="78"/>
    <n v="761400000"/>
    <x v="25"/>
    <n v="2"/>
  </r>
  <r>
    <x v="45"/>
    <x v="0"/>
    <x v="43"/>
    <n v="759700000"/>
    <x v="25"/>
    <n v="3"/>
  </r>
  <r>
    <x v="45"/>
    <x v="1"/>
    <x v="89"/>
    <n v="809900000"/>
    <x v="17"/>
    <n v="1"/>
  </r>
  <r>
    <x v="45"/>
    <x v="1"/>
    <x v="43"/>
    <n v="809200000"/>
    <x v="25"/>
    <n v="2"/>
  </r>
  <r>
    <x v="45"/>
    <x v="1"/>
    <x v="90"/>
    <n v="743400000"/>
    <x v="51"/>
    <n v="3"/>
  </r>
  <r>
    <x v="45"/>
    <x v="2"/>
    <x v="89"/>
    <n v="1200000000"/>
    <x v="63"/>
    <n v="1"/>
  </r>
  <r>
    <x v="45"/>
    <x v="2"/>
    <x v="43"/>
    <n v="791100000"/>
    <x v="25"/>
    <n v="2"/>
  </r>
  <r>
    <x v="45"/>
    <x v="2"/>
    <x v="90"/>
    <n v="617900000"/>
    <x v="51"/>
    <n v="3"/>
  </r>
  <r>
    <x v="46"/>
    <x v="0"/>
    <x v="91"/>
    <n v="9750000"/>
    <x v="62"/>
    <n v="1"/>
  </r>
  <r>
    <x v="46"/>
    <x v="0"/>
    <x v="92"/>
    <n v="2100000"/>
    <x v="62"/>
    <n v="2"/>
  </r>
  <r>
    <x v="46"/>
    <x v="0"/>
    <x v="93"/>
    <n v="1990000"/>
    <x v="62"/>
    <n v="3"/>
  </r>
  <r>
    <x v="46"/>
    <x v="1"/>
    <x v="91"/>
    <n v="15200000"/>
    <x v="62"/>
    <n v="1"/>
  </r>
  <r>
    <x v="46"/>
    <x v="1"/>
    <x v="94"/>
    <n v="2980000"/>
    <x v="62"/>
    <n v="2"/>
  </r>
  <r>
    <x v="46"/>
    <x v="1"/>
    <x v="4"/>
    <n v="1910000"/>
    <x v="64"/>
    <n v="3"/>
  </r>
  <r>
    <x v="46"/>
    <x v="2"/>
    <x v="91"/>
    <n v="27700000"/>
    <x v="62"/>
    <n v="1"/>
  </r>
  <r>
    <x v="46"/>
    <x v="2"/>
    <x v="4"/>
    <n v="2640000"/>
    <x v="64"/>
    <n v="2"/>
  </r>
  <r>
    <x v="46"/>
    <x v="2"/>
    <x v="15"/>
    <n v="2610000"/>
    <x v="62"/>
    <n v="3"/>
  </r>
  <r>
    <x v="47"/>
    <x v="0"/>
    <x v="68"/>
    <n v="488000000"/>
    <x v="11"/>
    <n v="1"/>
  </r>
  <r>
    <x v="47"/>
    <x v="0"/>
    <x v="15"/>
    <n v="486000000"/>
    <x v="11"/>
    <n v="2"/>
  </r>
  <r>
    <x v="47"/>
    <x v="0"/>
    <x v="95"/>
    <n v="239000000"/>
    <x v="37"/>
    <n v="3"/>
  </r>
  <r>
    <x v="47"/>
    <x v="1"/>
    <x v="15"/>
    <n v="719000000"/>
    <x v="11"/>
    <n v="1"/>
  </r>
  <r>
    <x v="47"/>
    <x v="1"/>
    <x v="68"/>
    <n v="425000000"/>
    <x v="11"/>
    <n v="2"/>
  </r>
  <r>
    <x v="47"/>
    <x v="1"/>
    <x v="14"/>
    <n v="398000000"/>
    <x v="8"/>
    <n v="3"/>
  </r>
  <r>
    <x v="47"/>
    <x v="2"/>
    <x v="15"/>
    <n v="709000000"/>
    <x v="11"/>
    <n v="1"/>
  </r>
  <r>
    <x v="47"/>
    <x v="2"/>
    <x v="96"/>
    <n v="693000000"/>
    <x v="37"/>
    <n v="2"/>
  </r>
  <r>
    <x v="47"/>
    <x v="2"/>
    <x v="68"/>
    <n v="437000000"/>
    <x v="11"/>
    <n v="3"/>
  </r>
  <r>
    <x v="48"/>
    <x v="0"/>
    <x v="10"/>
    <n v="76400000"/>
    <x v="56"/>
    <n v="1"/>
  </r>
  <r>
    <x v="48"/>
    <x v="0"/>
    <x v="27"/>
    <n v="50200000"/>
    <x v="65"/>
    <n v="2"/>
  </r>
  <r>
    <x v="48"/>
    <x v="0"/>
    <x v="14"/>
    <n v="45200000"/>
    <x v="19"/>
    <n v="3"/>
  </r>
  <r>
    <x v="48"/>
    <x v="1"/>
    <x v="14"/>
    <n v="65000000"/>
    <x v="19"/>
    <n v="1"/>
  </r>
  <r>
    <x v="48"/>
    <x v="1"/>
    <x v="27"/>
    <n v="56700000"/>
    <x v="65"/>
    <n v="2"/>
  </r>
  <r>
    <x v="48"/>
    <x v="1"/>
    <x v="90"/>
    <n v="23400000"/>
    <x v="66"/>
    <n v="3"/>
  </r>
  <r>
    <x v="48"/>
    <x v="2"/>
    <x v="97"/>
    <n v="81800000"/>
    <x v="30"/>
    <n v="1"/>
  </r>
  <r>
    <x v="48"/>
    <x v="2"/>
    <x v="27"/>
    <n v="69200000"/>
    <x v="65"/>
    <n v="2"/>
  </r>
  <r>
    <x v="48"/>
    <x v="2"/>
    <x v="10"/>
    <n v="59100000"/>
    <x v="10"/>
    <n v="3"/>
  </r>
  <r>
    <x v="49"/>
    <x v="0"/>
    <x v="98"/>
    <n v="722000000"/>
    <x v="2"/>
    <n v="1"/>
  </r>
  <r>
    <x v="49"/>
    <x v="0"/>
    <x v="1"/>
    <n v="293000000"/>
    <x v="3"/>
    <n v="2"/>
  </r>
  <r>
    <x v="49"/>
    <x v="0"/>
    <x v="5"/>
    <n v="106000000"/>
    <x v="2"/>
    <n v="3"/>
  </r>
  <r>
    <x v="49"/>
    <x v="1"/>
    <x v="98"/>
    <n v="813000000"/>
    <x v="2"/>
    <n v="1"/>
  </r>
  <r>
    <x v="49"/>
    <x v="1"/>
    <x v="1"/>
    <n v="288000000"/>
    <x v="3"/>
    <n v="2"/>
  </r>
  <r>
    <x v="49"/>
    <x v="1"/>
    <x v="5"/>
    <n v="113000000"/>
    <x v="31"/>
    <n v="3"/>
  </r>
  <r>
    <x v="49"/>
    <x v="2"/>
    <x v="98"/>
    <n v="927000000"/>
    <x v="31"/>
    <n v="1"/>
  </r>
  <r>
    <x v="49"/>
    <x v="2"/>
    <x v="1"/>
    <n v="312000000"/>
    <x v="3"/>
    <n v="2"/>
  </r>
  <r>
    <x v="49"/>
    <x v="2"/>
    <x v="5"/>
    <n v="90800000"/>
    <x v="31"/>
    <n v="3"/>
  </r>
  <r>
    <x v="50"/>
    <x v="0"/>
    <x v="17"/>
    <n v="725000000"/>
    <x v="31"/>
    <n v="1"/>
  </r>
  <r>
    <x v="50"/>
    <x v="0"/>
    <x v="0"/>
    <n v="113000000"/>
    <x v="50"/>
    <n v="2"/>
  </r>
  <r>
    <x v="50"/>
    <x v="0"/>
    <x v="13"/>
    <n v="105000000"/>
    <x v="50"/>
    <n v="3"/>
  </r>
  <r>
    <x v="50"/>
    <x v="1"/>
    <x v="17"/>
    <n v="955000000"/>
    <x v="31"/>
    <n v="1"/>
  </r>
  <r>
    <x v="50"/>
    <x v="1"/>
    <x v="0"/>
    <n v="138000000"/>
    <x v="67"/>
    <n v="2"/>
  </r>
  <r>
    <x v="50"/>
    <x v="1"/>
    <x v="18"/>
    <n v="72500000"/>
    <x v="50"/>
    <n v="3"/>
  </r>
  <r>
    <x v="50"/>
    <x v="2"/>
    <x v="17"/>
    <n v="990000000"/>
    <x v="31"/>
    <n v="1"/>
  </r>
  <r>
    <x v="50"/>
    <x v="2"/>
    <x v="4"/>
    <n v="102000000"/>
    <x v="68"/>
    <n v="2"/>
  </r>
  <r>
    <x v="50"/>
    <x v="2"/>
    <x v="23"/>
    <n v="89500000"/>
    <x v="33"/>
    <n v="3"/>
  </r>
  <r>
    <x v="51"/>
    <x v="0"/>
    <x v="46"/>
    <n v="389000000"/>
    <x v="64"/>
    <n v="1"/>
  </r>
  <r>
    <x v="51"/>
    <x v="0"/>
    <x v="13"/>
    <n v="367000000"/>
    <x v="10"/>
    <n v="2"/>
  </r>
  <r>
    <x v="51"/>
    <x v="0"/>
    <x v="56"/>
    <n v="291000000"/>
    <x v="21"/>
    <n v="3"/>
  </r>
  <r>
    <x v="51"/>
    <x v="1"/>
    <x v="56"/>
    <n v="343000000"/>
    <x v="34"/>
    <n v="1"/>
  </r>
  <r>
    <x v="51"/>
    <x v="1"/>
    <x v="17"/>
    <n v="274000000"/>
    <x v="17"/>
    <n v="2"/>
  </r>
  <r>
    <x v="51"/>
    <x v="1"/>
    <x v="13"/>
    <n v="257000000"/>
    <x v="10"/>
    <n v="3"/>
  </r>
  <r>
    <x v="51"/>
    <x v="2"/>
    <x v="13"/>
    <n v="352000000"/>
    <x v="10"/>
    <n v="1"/>
  </r>
  <r>
    <x v="51"/>
    <x v="2"/>
    <x v="15"/>
    <n v="287000000"/>
    <x v="11"/>
    <n v="2"/>
  </r>
  <r>
    <x v="51"/>
    <x v="2"/>
    <x v="17"/>
    <n v="286000000"/>
    <x v="31"/>
    <n v="3"/>
  </r>
  <r>
    <x v="52"/>
    <x v="0"/>
    <x v="99"/>
    <n v="66400000.000000007"/>
    <x v="20"/>
    <n v="1"/>
  </r>
  <r>
    <x v="52"/>
    <x v="0"/>
    <x v="89"/>
    <n v="56400000"/>
    <x v="69"/>
    <n v="2"/>
  </r>
  <r>
    <x v="52"/>
    <x v="0"/>
    <x v="45"/>
    <n v="51300000"/>
    <x v="57"/>
    <n v="3"/>
  </r>
  <r>
    <x v="52"/>
    <x v="1"/>
    <x v="45"/>
    <n v="137800000"/>
    <x v="57"/>
    <n v="1"/>
  </r>
  <r>
    <x v="52"/>
    <x v="1"/>
    <x v="89"/>
    <n v="94100000"/>
    <x v="50"/>
    <n v="2"/>
  </r>
  <r>
    <x v="52"/>
    <x v="1"/>
    <x v="99"/>
    <n v="74500000"/>
    <x v="50"/>
    <n v="3"/>
  </r>
  <r>
    <x v="52"/>
    <x v="2"/>
    <x v="45"/>
    <n v="104000000"/>
    <x v="57"/>
    <n v="1"/>
  </r>
  <r>
    <x v="52"/>
    <x v="2"/>
    <x v="0"/>
    <n v="120000000"/>
    <x v="57"/>
    <n v="2"/>
  </r>
  <r>
    <x v="52"/>
    <x v="2"/>
    <x v="99"/>
    <n v="94600000"/>
    <x v="12"/>
    <n v="3"/>
  </r>
  <r>
    <x v="53"/>
    <x v="0"/>
    <x v="14"/>
    <n v="50800000"/>
    <x v="29"/>
    <n v="1"/>
  </r>
  <r>
    <x v="53"/>
    <x v="0"/>
    <x v="43"/>
    <n v="45600000"/>
    <x v="12"/>
    <n v="2"/>
  </r>
  <r>
    <x v="53"/>
    <x v="0"/>
    <x v="0"/>
    <n v="36200000"/>
    <x v="50"/>
    <n v="3"/>
  </r>
  <r>
    <x v="53"/>
    <x v="1"/>
    <x v="14"/>
    <n v="115000000"/>
    <x v="70"/>
    <n v="1"/>
  </r>
  <r>
    <x v="53"/>
    <x v="1"/>
    <x v="43"/>
    <n v="44600000"/>
    <x v="2"/>
    <n v="2"/>
  </r>
  <r>
    <x v="53"/>
    <x v="1"/>
    <x v="0"/>
    <n v="40300000"/>
    <x v="54"/>
    <n v="3"/>
  </r>
  <r>
    <x v="53"/>
    <x v="2"/>
    <x v="0"/>
    <n v="87300000"/>
    <x v="54"/>
    <n v="1"/>
  </r>
  <r>
    <x v="53"/>
    <x v="2"/>
    <x v="43"/>
    <n v="45800000"/>
    <x v="25"/>
    <n v="2"/>
  </r>
  <r>
    <x v="53"/>
    <x v="2"/>
    <x v="100"/>
    <n v="30700000"/>
    <x v="68"/>
    <n v="3"/>
  </r>
  <r>
    <x v="54"/>
    <x v="3"/>
    <x v="47"/>
    <m/>
    <x v="4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D057F-922A-4393-A74C-A865540EF9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rowPageCount="1" colPageCount="1"/>
  <pivotFields count="6">
    <pivotField axis="axisPage" multipleItemSelectionAllowed="1" showAll="0">
      <items count="5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t="default"/>
      </items>
    </pivotField>
    <pivotField axis="axisRow" showAll="0">
      <items count="5">
        <item x="0"/>
        <item x="1"/>
        <item x="2"/>
        <item x="3"/>
        <item t="default"/>
      </items>
    </pivotField>
    <pivotField axis="axisCol" showAll="0">
      <items count="57">
        <item x="42"/>
        <item x="33"/>
        <item x="53"/>
        <item x="54"/>
        <item x="35"/>
        <item x="26"/>
        <item x="11"/>
        <item x="7"/>
        <item x="13"/>
        <item x="1"/>
        <item x="51"/>
        <item x="15"/>
        <item x="19"/>
        <item x="18"/>
        <item x="17"/>
        <item x="32"/>
        <item x="49"/>
        <item x="48"/>
        <item x="3"/>
        <item x="21"/>
        <item x="36"/>
        <item x="20"/>
        <item x="5"/>
        <item x="40"/>
        <item x="27"/>
        <item x="9"/>
        <item x="44"/>
        <item x="22"/>
        <item x="24"/>
        <item x="46"/>
        <item x="23"/>
        <item x="30"/>
        <item x="39"/>
        <item x="6"/>
        <item x="45"/>
        <item x="29"/>
        <item x="41"/>
        <item x="28"/>
        <item x="50"/>
        <item x="47"/>
        <item x="37"/>
        <item x="38"/>
        <item x="31"/>
        <item x="8"/>
        <item x="10"/>
        <item x="14"/>
        <item x="2"/>
        <item x="16"/>
        <item x="34"/>
        <item x="12"/>
        <item x="0"/>
        <item x="4"/>
        <item x="25"/>
        <item x="52"/>
        <item x="43"/>
        <item x="55"/>
        <item t="default"/>
      </items>
    </pivotField>
    <pivotField dataField="1" showAll="0"/>
    <pivotField showAll="0">
      <items count="78">
        <item x="75"/>
        <item x="1"/>
        <item x="48"/>
        <item x="64"/>
        <item x="20"/>
        <item x="17"/>
        <item x="13"/>
        <item x="61"/>
        <item x="71"/>
        <item x="51"/>
        <item x="28"/>
        <item x="3"/>
        <item x="42"/>
        <item x="9"/>
        <item x="7"/>
        <item x="29"/>
        <item x="60"/>
        <item x="8"/>
        <item x="49"/>
        <item x="54"/>
        <item x="70"/>
        <item x="0"/>
        <item x="31"/>
        <item x="52"/>
        <item x="11"/>
        <item x="57"/>
        <item x="55"/>
        <item x="6"/>
        <item x="44"/>
        <item x="38"/>
        <item x="30"/>
        <item x="15"/>
        <item x="39"/>
        <item x="65"/>
        <item x="66"/>
        <item x="18"/>
        <item x="45"/>
        <item x="36"/>
        <item x="25"/>
        <item x="35"/>
        <item x="74"/>
        <item x="59"/>
        <item x="73"/>
        <item x="22"/>
        <item x="23"/>
        <item x="4"/>
        <item x="37"/>
        <item x="47"/>
        <item x="34"/>
        <item x="14"/>
        <item x="56"/>
        <item x="26"/>
        <item x="53"/>
        <item x="72"/>
        <item x="2"/>
        <item x="40"/>
        <item x="62"/>
        <item x="12"/>
        <item x="63"/>
        <item x="19"/>
        <item x="27"/>
        <item x="24"/>
        <item x="16"/>
        <item x="68"/>
        <item x="33"/>
        <item x="32"/>
        <item x="67"/>
        <item x="50"/>
        <item x="58"/>
        <item x="46"/>
        <item x="10"/>
        <item x="69"/>
        <item x="5"/>
        <item x="41"/>
        <item x="43"/>
        <item x="21"/>
        <item x="76"/>
        <item t="default"/>
      </items>
    </pivotField>
    <pivotField showAll="0"/>
  </pivotFields>
  <rowFields count="1">
    <field x="1"/>
  </rowFields>
  <rowItems count="4">
    <i>
      <x/>
    </i>
    <i>
      <x v="1"/>
    </i>
    <i>
      <x v="2"/>
    </i>
    <i t="grand">
      <x/>
    </i>
  </rowItems>
  <colFields count="1">
    <field x="2"/>
  </colFields>
  <colItems count="5">
    <i>
      <x v="28"/>
    </i>
    <i>
      <x v="33"/>
    </i>
    <i>
      <x v="47"/>
    </i>
    <i>
      <x v="50"/>
    </i>
    <i t="grand">
      <x/>
    </i>
  </colItems>
  <pageFields count="1">
    <pageField fld="0" hier="-1"/>
  </pageFields>
  <dataFields count="1">
    <dataField name="Sum of Value" fld="3" baseField="0" baseItem="0"/>
  </dataFields>
  <chartFormats count="56">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4"/>
          </reference>
        </references>
      </pivotArea>
    </chartFormat>
    <chartFormat chart="3" format="5" series="1">
      <pivotArea type="data" outline="0" fieldPosition="0">
        <references count="2">
          <reference field="4294967294" count="1" selected="0">
            <x v="0"/>
          </reference>
          <reference field="2" count="1" selected="0">
            <x v="5"/>
          </reference>
        </references>
      </pivotArea>
    </chartFormat>
    <chartFormat chart="3" format="6" series="1">
      <pivotArea type="data" outline="0" fieldPosition="0">
        <references count="2">
          <reference field="4294967294" count="1" selected="0">
            <x v="0"/>
          </reference>
          <reference field="2" count="1" selected="0">
            <x v="6"/>
          </reference>
        </references>
      </pivotArea>
    </chartFormat>
    <chartFormat chart="3" format="7" series="1">
      <pivotArea type="data" outline="0" fieldPosition="0">
        <references count="2">
          <reference field="4294967294" count="1" selected="0">
            <x v="0"/>
          </reference>
          <reference field="2" count="1" selected="0">
            <x v="7"/>
          </reference>
        </references>
      </pivotArea>
    </chartFormat>
    <chartFormat chart="3" format="8" series="1">
      <pivotArea type="data" outline="0" fieldPosition="0">
        <references count="2">
          <reference field="4294967294" count="1" selected="0">
            <x v="0"/>
          </reference>
          <reference field="2" count="1" selected="0">
            <x v="8"/>
          </reference>
        </references>
      </pivotArea>
    </chartFormat>
    <chartFormat chart="3" format="9" series="1">
      <pivotArea type="data" outline="0" fieldPosition="0">
        <references count="2">
          <reference field="4294967294" count="1" selected="0">
            <x v="0"/>
          </reference>
          <reference field="2" count="1" selected="0">
            <x v="9"/>
          </reference>
        </references>
      </pivotArea>
    </chartFormat>
    <chartFormat chart="3" format="10" series="1">
      <pivotArea type="data" outline="0" fieldPosition="0">
        <references count="2">
          <reference field="4294967294" count="1" selected="0">
            <x v="0"/>
          </reference>
          <reference field="2" count="1" selected="0">
            <x v="10"/>
          </reference>
        </references>
      </pivotArea>
    </chartFormat>
    <chartFormat chart="3" format="11" series="1">
      <pivotArea type="data" outline="0" fieldPosition="0">
        <references count="2">
          <reference field="4294967294" count="1" selected="0">
            <x v="0"/>
          </reference>
          <reference field="2" count="1" selected="0">
            <x v="11"/>
          </reference>
        </references>
      </pivotArea>
    </chartFormat>
    <chartFormat chart="3" format="12" series="1">
      <pivotArea type="data" outline="0" fieldPosition="0">
        <references count="2">
          <reference field="4294967294" count="1" selected="0">
            <x v="0"/>
          </reference>
          <reference field="2" count="1" selected="0">
            <x v="12"/>
          </reference>
        </references>
      </pivotArea>
    </chartFormat>
    <chartFormat chart="3" format="13" series="1">
      <pivotArea type="data" outline="0" fieldPosition="0">
        <references count="2">
          <reference field="4294967294" count="1" selected="0">
            <x v="0"/>
          </reference>
          <reference field="2" count="1" selected="0">
            <x v="13"/>
          </reference>
        </references>
      </pivotArea>
    </chartFormat>
    <chartFormat chart="3" format="14" series="1">
      <pivotArea type="data" outline="0" fieldPosition="0">
        <references count="2">
          <reference field="4294967294" count="1" selected="0">
            <x v="0"/>
          </reference>
          <reference field="2" count="1" selected="0">
            <x v="14"/>
          </reference>
        </references>
      </pivotArea>
    </chartFormat>
    <chartFormat chart="3" format="15" series="1">
      <pivotArea type="data" outline="0" fieldPosition="0">
        <references count="2">
          <reference field="4294967294" count="1" selected="0">
            <x v="0"/>
          </reference>
          <reference field="2" count="1" selected="0">
            <x v="15"/>
          </reference>
        </references>
      </pivotArea>
    </chartFormat>
    <chartFormat chart="3" format="16" series="1">
      <pivotArea type="data" outline="0" fieldPosition="0">
        <references count="2">
          <reference field="4294967294" count="1" selected="0">
            <x v="0"/>
          </reference>
          <reference field="2" count="1" selected="0">
            <x v="16"/>
          </reference>
        </references>
      </pivotArea>
    </chartFormat>
    <chartFormat chart="3" format="17" series="1">
      <pivotArea type="data" outline="0" fieldPosition="0">
        <references count="2">
          <reference field="4294967294" count="1" selected="0">
            <x v="0"/>
          </reference>
          <reference field="2" count="1" selected="0">
            <x v="17"/>
          </reference>
        </references>
      </pivotArea>
    </chartFormat>
    <chartFormat chart="3" format="18" series="1">
      <pivotArea type="data" outline="0" fieldPosition="0">
        <references count="2">
          <reference field="4294967294" count="1" selected="0">
            <x v="0"/>
          </reference>
          <reference field="2" count="1" selected="0">
            <x v="18"/>
          </reference>
        </references>
      </pivotArea>
    </chartFormat>
    <chartFormat chart="3" format="19" series="1">
      <pivotArea type="data" outline="0" fieldPosition="0">
        <references count="2">
          <reference field="4294967294" count="1" selected="0">
            <x v="0"/>
          </reference>
          <reference field="2" count="1" selected="0">
            <x v="19"/>
          </reference>
        </references>
      </pivotArea>
    </chartFormat>
    <chartFormat chart="3" format="20" series="1">
      <pivotArea type="data" outline="0" fieldPosition="0">
        <references count="2">
          <reference field="4294967294" count="1" selected="0">
            <x v="0"/>
          </reference>
          <reference field="2" count="1" selected="0">
            <x v="20"/>
          </reference>
        </references>
      </pivotArea>
    </chartFormat>
    <chartFormat chart="3" format="21" series="1">
      <pivotArea type="data" outline="0" fieldPosition="0">
        <references count="2">
          <reference field="4294967294" count="1" selected="0">
            <x v="0"/>
          </reference>
          <reference field="2" count="1" selected="0">
            <x v="21"/>
          </reference>
        </references>
      </pivotArea>
    </chartFormat>
    <chartFormat chart="3" format="22" series="1">
      <pivotArea type="data" outline="0" fieldPosition="0">
        <references count="2">
          <reference field="4294967294" count="1" selected="0">
            <x v="0"/>
          </reference>
          <reference field="2" count="1" selected="0">
            <x v="22"/>
          </reference>
        </references>
      </pivotArea>
    </chartFormat>
    <chartFormat chart="3" format="23" series="1">
      <pivotArea type="data" outline="0" fieldPosition="0">
        <references count="2">
          <reference field="4294967294" count="1" selected="0">
            <x v="0"/>
          </reference>
          <reference field="2" count="1" selected="0">
            <x v="23"/>
          </reference>
        </references>
      </pivotArea>
    </chartFormat>
    <chartFormat chart="3" format="24" series="1">
      <pivotArea type="data" outline="0" fieldPosition="0">
        <references count="2">
          <reference field="4294967294" count="1" selected="0">
            <x v="0"/>
          </reference>
          <reference field="2" count="1" selected="0">
            <x v="24"/>
          </reference>
        </references>
      </pivotArea>
    </chartFormat>
    <chartFormat chart="3" format="25" series="1">
      <pivotArea type="data" outline="0" fieldPosition="0">
        <references count="2">
          <reference field="4294967294" count="1" selected="0">
            <x v="0"/>
          </reference>
          <reference field="2" count="1" selected="0">
            <x v="25"/>
          </reference>
        </references>
      </pivotArea>
    </chartFormat>
    <chartFormat chart="3" format="26" series="1">
      <pivotArea type="data" outline="0" fieldPosition="0">
        <references count="2">
          <reference field="4294967294" count="1" selected="0">
            <x v="0"/>
          </reference>
          <reference field="2" count="1" selected="0">
            <x v="26"/>
          </reference>
        </references>
      </pivotArea>
    </chartFormat>
    <chartFormat chart="3" format="27" series="1">
      <pivotArea type="data" outline="0" fieldPosition="0">
        <references count="2">
          <reference field="4294967294" count="1" selected="0">
            <x v="0"/>
          </reference>
          <reference field="2" count="1" selected="0">
            <x v="27"/>
          </reference>
        </references>
      </pivotArea>
    </chartFormat>
    <chartFormat chart="3" format="28" series="1">
      <pivotArea type="data" outline="0" fieldPosition="0">
        <references count="2">
          <reference field="4294967294" count="1" selected="0">
            <x v="0"/>
          </reference>
          <reference field="2" count="1" selected="0">
            <x v="28"/>
          </reference>
        </references>
      </pivotArea>
    </chartFormat>
    <chartFormat chart="3" format="29" series="1">
      <pivotArea type="data" outline="0" fieldPosition="0">
        <references count="2">
          <reference field="4294967294" count="1" selected="0">
            <x v="0"/>
          </reference>
          <reference field="2" count="1" selected="0">
            <x v="29"/>
          </reference>
        </references>
      </pivotArea>
    </chartFormat>
    <chartFormat chart="3" format="30" series="1">
      <pivotArea type="data" outline="0" fieldPosition="0">
        <references count="2">
          <reference field="4294967294" count="1" selected="0">
            <x v="0"/>
          </reference>
          <reference field="2" count="1" selected="0">
            <x v="30"/>
          </reference>
        </references>
      </pivotArea>
    </chartFormat>
    <chartFormat chart="3" format="31" series="1">
      <pivotArea type="data" outline="0" fieldPosition="0">
        <references count="2">
          <reference field="4294967294" count="1" selected="0">
            <x v="0"/>
          </reference>
          <reference field="2" count="1" selected="0">
            <x v="31"/>
          </reference>
        </references>
      </pivotArea>
    </chartFormat>
    <chartFormat chart="3" format="32" series="1">
      <pivotArea type="data" outline="0" fieldPosition="0">
        <references count="2">
          <reference field="4294967294" count="1" selected="0">
            <x v="0"/>
          </reference>
          <reference field="2" count="1" selected="0">
            <x v="32"/>
          </reference>
        </references>
      </pivotArea>
    </chartFormat>
    <chartFormat chart="3" format="33" series="1">
      <pivotArea type="data" outline="0" fieldPosition="0">
        <references count="2">
          <reference field="4294967294" count="1" selected="0">
            <x v="0"/>
          </reference>
          <reference field="2" count="1" selected="0">
            <x v="33"/>
          </reference>
        </references>
      </pivotArea>
    </chartFormat>
    <chartFormat chart="3" format="34" series="1">
      <pivotArea type="data" outline="0" fieldPosition="0">
        <references count="2">
          <reference field="4294967294" count="1" selected="0">
            <x v="0"/>
          </reference>
          <reference field="2" count="1" selected="0">
            <x v="34"/>
          </reference>
        </references>
      </pivotArea>
    </chartFormat>
    <chartFormat chart="3" format="35" series="1">
      <pivotArea type="data" outline="0" fieldPosition="0">
        <references count="2">
          <reference field="4294967294" count="1" selected="0">
            <x v="0"/>
          </reference>
          <reference field="2" count="1" selected="0">
            <x v="35"/>
          </reference>
        </references>
      </pivotArea>
    </chartFormat>
    <chartFormat chart="3" format="36" series="1">
      <pivotArea type="data" outline="0" fieldPosition="0">
        <references count="2">
          <reference field="4294967294" count="1" selected="0">
            <x v="0"/>
          </reference>
          <reference field="2" count="1" selected="0">
            <x v="36"/>
          </reference>
        </references>
      </pivotArea>
    </chartFormat>
    <chartFormat chart="3" format="37" series="1">
      <pivotArea type="data" outline="0" fieldPosition="0">
        <references count="2">
          <reference field="4294967294" count="1" selected="0">
            <x v="0"/>
          </reference>
          <reference field="2" count="1" selected="0">
            <x v="37"/>
          </reference>
        </references>
      </pivotArea>
    </chartFormat>
    <chartFormat chart="3" format="38" series="1">
      <pivotArea type="data" outline="0" fieldPosition="0">
        <references count="2">
          <reference field="4294967294" count="1" selected="0">
            <x v="0"/>
          </reference>
          <reference field="2" count="1" selected="0">
            <x v="38"/>
          </reference>
        </references>
      </pivotArea>
    </chartFormat>
    <chartFormat chart="3" format="39" series="1">
      <pivotArea type="data" outline="0" fieldPosition="0">
        <references count="2">
          <reference field="4294967294" count="1" selected="0">
            <x v="0"/>
          </reference>
          <reference field="2" count="1" selected="0">
            <x v="39"/>
          </reference>
        </references>
      </pivotArea>
    </chartFormat>
    <chartFormat chart="3" format="40" series="1">
      <pivotArea type="data" outline="0" fieldPosition="0">
        <references count="2">
          <reference field="4294967294" count="1" selected="0">
            <x v="0"/>
          </reference>
          <reference field="2" count="1" selected="0">
            <x v="40"/>
          </reference>
        </references>
      </pivotArea>
    </chartFormat>
    <chartFormat chart="3" format="41" series="1">
      <pivotArea type="data" outline="0" fieldPosition="0">
        <references count="2">
          <reference field="4294967294" count="1" selected="0">
            <x v="0"/>
          </reference>
          <reference field="2" count="1" selected="0">
            <x v="41"/>
          </reference>
        </references>
      </pivotArea>
    </chartFormat>
    <chartFormat chart="3" format="42" series="1">
      <pivotArea type="data" outline="0" fieldPosition="0">
        <references count="2">
          <reference field="4294967294" count="1" selected="0">
            <x v="0"/>
          </reference>
          <reference field="2" count="1" selected="0">
            <x v="42"/>
          </reference>
        </references>
      </pivotArea>
    </chartFormat>
    <chartFormat chart="3" format="43" series="1">
      <pivotArea type="data" outline="0" fieldPosition="0">
        <references count="2">
          <reference field="4294967294" count="1" selected="0">
            <x v="0"/>
          </reference>
          <reference field="2" count="1" selected="0">
            <x v="43"/>
          </reference>
        </references>
      </pivotArea>
    </chartFormat>
    <chartFormat chart="3" format="44" series="1">
      <pivotArea type="data" outline="0" fieldPosition="0">
        <references count="2">
          <reference field="4294967294" count="1" selected="0">
            <x v="0"/>
          </reference>
          <reference field="2" count="1" selected="0">
            <x v="44"/>
          </reference>
        </references>
      </pivotArea>
    </chartFormat>
    <chartFormat chart="3" format="45" series="1">
      <pivotArea type="data" outline="0" fieldPosition="0">
        <references count="2">
          <reference field="4294967294" count="1" selected="0">
            <x v="0"/>
          </reference>
          <reference field="2" count="1" selected="0">
            <x v="45"/>
          </reference>
        </references>
      </pivotArea>
    </chartFormat>
    <chartFormat chart="3" format="46" series="1">
      <pivotArea type="data" outline="0" fieldPosition="0">
        <references count="2">
          <reference field="4294967294" count="1" selected="0">
            <x v="0"/>
          </reference>
          <reference field="2" count="1" selected="0">
            <x v="46"/>
          </reference>
        </references>
      </pivotArea>
    </chartFormat>
    <chartFormat chart="3" format="47" series="1">
      <pivotArea type="data" outline="0" fieldPosition="0">
        <references count="2">
          <reference field="4294967294" count="1" selected="0">
            <x v="0"/>
          </reference>
          <reference field="2" count="1" selected="0">
            <x v="47"/>
          </reference>
        </references>
      </pivotArea>
    </chartFormat>
    <chartFormat chart="3" format="48" series="1">
      <pivotArea type="data" outline="0" fieldPosition="0">
        <references count="2">
          <reference field="4294967294" count="1" selected="0">
            <x v="0"/>
          </reference>
          <reference field="2" count="1" selected="0">
            <x v="48"/>
          </reference>
        </references>
      </pivotArea>
    </chartFormat>
    <chartFormat chart="3" format="49" series="1">
      <pivotArea type="data" outline="0" fieldPosition="0">
        <references count="2">
          <reference field="4294967294" count="1" selected="0">
            <x v="0"/>
          </reference>
          <reference field="2" count="1" selected="0">
            <x v="49"/>
          </reference>
        </references>
      </pivotArea>
    </chartFormat>
    <chartFormat chart="3" format="50" series="1">
      <pivotArea type="data" outline="0" fieldPosition="0">
        <references count="2">
          <reference field="4294967294" count="1" selected="0">
            <x v="0"/>
          </reference>
          <reference field="2" count="1" selected="0">
            <x v="50"/>
          </reference>
        </references>
      </pivotArea>
    </chartFormat>
    <chartFormat chart="3" format="51" series="1">
      <pivotArea type="data" outline="0" fieldPosition="0">
        <references count="2">
          <reference field="4294967294" count="1" selected="0">
            <x v="0"/>
          </reference>
          <reference field="2" count="1" selected="0">
            <x v="51"/>
          </reference>
        </references>
      </pivotArea>
    </chartFormat>
    <chartFormat chart="3" format="52" series="1">
      <pivotArea type="data" outline="0" fieldPosition="0">
        <references count="2">
          <reference field="4294967294" count="1" selected="0">
            <x v="0"/>
          </reference>
          <reference field="2" count="1" selected="0">
            <x v="52"/>
          </reference>
        </references>
      </pivotArea>
    </chartFormat>
    <chartFormat chart="3" format="53" series="1">
      <pivotArea type="data" outline="0" fieldPosition="0">
        <references count="2">
          <reference field="4294967294" count="1" selected="0">
            <x v="0"/>
          </reference>
          <reference field="2" count="1" selected="0">
            <x v="53"/>
          </reference>
        </references>
      </pivotArea>
    </chartFormat>
    <chartFormat chart="3" format="54" series="1">
      <pivotArea type="data" outline="0" fieldPosition="0">
        <references count="2">
          <reference field="4294967294" count="1" selected="0">
            <x v="0"/>
          </reference>
          <reference field="2" count="1" selected="0">
            <x v="54"/>
          </reference>
        </references>
      </pivotArea>
    </chartFormat>
    <chartFormat chart="3" format="55" series="1">
      <pivotArea type="data" outline="0" fieldPosition="0">
        <references count="2">
          <reference field="4294967294" count="1" selected="0">
            <x v="0"/>
          </reference>
          <reference field="2" count="1" selected="0">
            <x v="5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D1E7A-3E6C-4D05-B687-0C370CE9EC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8" firstHeaderRow="1" firstDataRow="2" firstDataCol="1" rowPageCount="1" colPageCount="1"/>
  <pivotFields count="6">
    <pivotField axis="axisPage"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axis="axisRow" showAll="0">
      <items count="5">
        <item x="0"/>
        <item x="1"/>
        <item x="2"/>
        <item x="3"/>
        <item t="default"/>
      </items>
    </pivotField>
    <pivotField axis="axisCol" showAll="0">
      <items count="102">
        <item x="59"/>
        <item x="24"/>
        <item x="94"/>
        <item x="81"/>
        <item x="32"/>
        <item x="87"/>
        <item x="6"/>
        <item x="38"/>
        <item x="7"/>
        <item x="97"/>
        <item x="73"/>
        <item x="40"/>
        <item x="11"/>
        <item x="84"/>
        <item x="58"/>
        <item x="43"/>
        <item x="35"/>
        <item x="23"/>
        <item x="25"/>
        <item x="60"/>
        <item x="26"/>
        <item x="61"/>
        <item x="64"/>
        <item x="65"/>
        <item x="9"/>
        <item x="16"/>
        <item x="56"/>
        <item x="17"/>
        <item x="14"/>
        <item x="8"/>
        <item x="30"/>
        <item x="72"/>
        <item x="52"/>
        <item x="5"/>
        <item x="13"/>
        <item x="36"/>
        <item x="4"/>
        <item x="62"/>
        <item x="21"/>
        <item x="57"/>
        <item x="45"/>
        <item x="33"/>
        <item x="71"/>
        <item x="91"/>
        <item x="44"/>
        <item x="78"/>
        <item x="68"/>
        <item x="70"/>
        <item x="55"/>
        <item x="34"/>
        <item x="2"/>
        <item x="89"/>
        <item x="83"/>
        <item x="12"/>
        <item x="29"/>
        <item x="22"/>
        <item x="20"/>
        <item x="39"/>
        <item x="54"/>
        <item x="98"/>
        <item x="92"/>
        <item x="79"/>
        <item x="88"/>
        <item x="100"/>
        <item x="74"/>
        <item x="15"/>
        <item x="77"/>
        <item x="53"/>
        <item x="27"/>
        <item x="66"/>
        <item x="28"/>
        <item x="3"/>
        <item x="19"/>
        <item x="42"/>
        <item x="46"/>
        <item x="82"/>
        <item x="31"/>
        <item x="95"/>
        <item x="93"/>
        <item x="86"/>
        <item x="96"/>
        <item x="85"/>
        <item x="10"/>
        <item x="99"/>
        <item x="0"/>
        <item x="51"/>
        <item x="50"/>
        <item x="41"/>
        <item x="76"/>
        <item x="18"/>
        <item x="75"/>
        <item x="1"/>
        <item x="67"/>
        <item x="37"/>
        <item x="80"/>
        <item x="63"/>
        <item x="69"/>
        <item x="49"/>
        <item x="48"/>
        <item x="90"/>
        <item x="47"/>
        <item t="default"/>
      </items>
    </pivotField>
    <pivotField dataField="1" showAll="0"/>
    <pivotField showAll="0">
      <items count="72">
        <item x="9"/>
        <item x="23"/>
        <item x="66"/>
        <item x="38"/>
        <item x="56"/>
        <item x="32"/>
        <item x="27"/>
        <item x="45"/>
        <item x="11"/>
        <item x="28"/>
        <item x="63"/>
        <item x="59"/>
        <item x="7"/>
        <item x="16"/>
        <item x="57"/>
        <item x="35"/>
        <item x="1"/>
        <item x="18"/>
        <item x="5"/>
        <item x="68"/>
        <item x="10"/>
        <item x="29"/>
        <item x="43"/>
        <item x="31"/>
        <item x="17"/>
        <item x="0"/>
        <item x="46"/>
        <item x="50"/>
        <item x="70"/>
        <item x="48"/>
        <item x="41"/>
        <item x="33"/>
        <item x="58"/>
        <item x="49"/>
        <item x="60"/>
        <item x="3"/>
        <item x="54"/>
        <item x="25"/>
        <item x="22"/>
        <item x="65"/>
        <item x="26"/>
        <item x="13"/>
        <item x="61"/>
        <item x="19"/>
        <item x="6"/>
        <item x="36"/>
        <item x="52"/>
        <item x="39"/>
        <item x="37"/>
        <item x="44"/>
        <item x="15"/>
        <item x="42"/>
        <item x="12"/>
        <item x="47"/>
        <item x="2"/>
        <item x="67"/>
        <item x="14"/>
        <item x="20"/>
        <item x="4"/>
        <item x="8"/>
        <item x="55"/>
        <item x="64"/>
        <item x="24"/>
        <item x="62"/>
        <item x="51"/>
        <item x="53"/>
        <item x="30"/>
        <item x="34"/>
        <item x="21"/>
        <item x="69"/>
        <item x="40"/>
        <item t="default"/>
      </items>
    </pivotField>
    <pivotField showAll="0"/>
  </pivotFields>
  <rowFields count="1">
    <field x="1"/>
  </rowFields>
  <rowItems count="4">
    <i>
      <x/>
    </i>
    <i>
      <x v="1"/>
    </i>
    <i>
      <x v="2"/>
    </i>
    <i t="grand">
      <x/>
    </i>
  </rowItems>
  <colFields count="1">
    <field x="2"/>
  </colFields>
  <colItems count="5">
    <i>
      <x v="15"/>
    </i>
    <i>
      <x v="28"/>
    </i>
    <i>
      <x v="63"/>
    </i>
    <i>
      <x v="84"/>
    </i>
    <i t="grand">
      <x/>
    </i>
  </colItems>
  <pageFields count="1">
    <pageField fld="0" item="53" hier="-1"/>
  </pageFields>
  <dataFields count="1">
    <dataField name="Sum of Value(USD)" fld="3" baseField="0" baseItem="0"/>
  </dataFields>
  <chartFormats count="11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series="1">
      <pivotArea type="data" outline="0" fieldPosition="0">
        <references count="2">
          <reference field="4294967294" count="1" selected="0">
            <x v="0"/>
          </reference>
          <reference field="2" count="1" selected="0">
            <x v="6"/>
          </reference>
        </references>
      </pivotArea>
    </chartFormat>
    <chartFormat chart="4" format="7" series="1">
      <pivotArea type="data" outline="0" fieldPosition="0">
        <references count="2">
          <reference field="4294967294" count="1" selected="0">
            <x v="0"/>
          </reference>
          <reference field="2" count="1" selected="0">
            <x v="7"/>
          </reference>
        </references>
      </pivotArea>
    </chartFormat>
    <chartFormat chart="4" format="8" series="1">
      <pivotArea type="data" outline="0" fieldPosition="0">
        <references count="2">
          <reference field="4294967294" count="1" selected="0">
            <x v="0"/>
          </reference>
          <reference field="2" count="1" selected="0">
            <x v="8"/>
          </reference>
        </references>
      </pivotArea>
    </chartFormat>
    <chartFormat chart="4" format="9" series="1">
      <pivotArea type="data" outline="0" fieldPosition="0">
        <references count="2">
          <reference field="4294967294" count="1" selected="0">
            <x v="0"/>
          </reference>
          <reference field="2" count="1" selected="0">
            <x v="9"/>
          </reference>
        </references>
      </pivotArea>
    </chartFormat>
    <chartFormat chart="4" format="10" series="1">
      <pivotArea type="data" outline="0" fieldPosition="0">
        <references count="2">
          <reference field="4294967294" count="1" selected="0">
            <x v="0"/>
          </reference>
          <reference field="2" count="1" selected="0">
            <x v="10"/>
          </reference>
        </references>
      </pivotArea>
    </chartFormat>
    <chartFormat chart="4" format="11" series="1">
      <pivotArea type="data" outline="0" fieldPosition="0">
        <references count="2">
          <reference field="4294967294" count="1" selected="0">
            <x v="0"/>
          </reference>
          <reference field="2" count="1" selected="0">
            <x v="11"/>
          </reference>
        </references>
      </pivotArea>
    </chartFormat>
    <chartFormat chart="4" format="12" series="1">
      <pivotArea type="data" outline="0" fieldPosition="0">
        <references count="2">
          <reference field="4294967294" count="1" selected="0">
            <x v="0"/>
          </reference>
          <reference field="2" count="1" selected="0">
            <x v="12"/>
          </reference>
        </references>
      </pivotArea>
    </chartFormat>
    <chartFormat chart="4" format="13" series="1">
      <pivotArea type="data" outline="0" fieldPosition="0">
        <references count="2">
          <reference field="4294967294" count="1" selected="0">
            <x v="0"/>
          </reference>
          <reference field="2" count="1" selected="0">
            <x v="13"/>
          </reference>
        </references>
      </pivotArea>
    </chartFormat>
    <chartFormat chart="4" format="14" series="1">
      <pivotArea type="data" outline="0" fieldPosition="0">
        <references count="2">
          <reference field="4294967294" count="1" selected="0">
            <x v="0"/>
          </reference>
          <reference field="2" count="1" selected="0">
            <x v="14"/>
          </reference>
        </references>
      </pivotArea>
    </chartFormat>
    <chartFormat chart="4" format="15" series="1">
      <pivotArea type="data" outline="0" fieldPosition="0">
        <references count="2">
          <reference field="4294967294" count="1" selected="0">
            <x v="0"/>
          </reference>
          <reference field="2" count="1" selected="0">
            <x v="15"/>
          </reference>
        </references>
      </pivotArea>
    </chartFormat>
    <chartFormat chart="4" format="16" series="1">
      <pivotArea type="data" outline="0" fieldPosition="0">
        <references count="2">
          <reference field="4294967294" count="1" selected="0">
            <x v="0"/>
          </reference>
          <reference field="2" count="1" selected="0">
            <x v="16"/>
          </reference>
        </references>
      </pivotArea>
    </chartFormat>
    <chartFormat chart="4" format="17" series="1">
      <pivotArea type="data" outline="0" fieldPosition="0">
        <references count="2">
          <reference field="4294967294" count="1" selected="0">
            <x v="0"/>
          </reference>
          <reference field="2" count="1" selected="0">
            <x v="17"/>
          </reference>
        </references>
      </pivotArea>
    </chartFormat>
    <chartFormat chart="4" format="18" series="1">
      <pivotArea type="data" outline="0" fieldPosition="0">
        <references count="2">
          <reference field="4294967294" count="1" selected="0">
            <x v="0"/>
          </reference>
          <reference field="2" count="1" selected="0">
            <x v="18"/>
          </reference>
        </references>
      </pivotArea>
    </chartFormat>
    <chartFormat chart="4" format="19" series="1">
      <pivotArea type="data" outline="0" fieldPosition="0">
        <references count="2">
          <reference field="4294967294" count="1" selected="0">
            <x v="0"/>
          </reference>
          <reference field="2" count="1" selected="0">
            <x v="19"/>
          </reference>
        </references>
      </pivotArea>
    </chartFormat>
    <chartFormat chart="4" format="20" series="1">
      <pivotArea type="data" outline="0" fieldPosition="0">
        <references count="2">
          <reference field="4294967294" count="1" selected="0">
            <x v="0"/>
          </reference>
          <reference field="2" count="1" selected="0">
            <x v="20"/>
          </reference>
        </references>
      </pivotArea>
    </chartFormat>
    <chartFormat chart="4" format="21" series="1">
      <pivotArea type="data" outline="0" fieldPosition="0">
        <references count="2">
          <reference field="4294967294" count="1" selected="0">
            <x v="0"/>
          </reference>
          <reference field="2" count="1" selected="0">
            <x v="21"/>
          </reference>
        </references>
      </pivotArea>
    </chartFormat>
    <chartFormat chart="4" format="22" series="1">
      <pivotArea type="data" outline="0" fieldPosition="0">
        <references count="2">
          <reference field="4294967294" count="1" selected="0">
            <x v="0"/>
          </reference>
          <reference field="2" count="1" selected="0">
            <x v="22"/>
          </reference>
        </references>
      </pivotArea>
    </chartFormat>
    <chartFormat chart="4" format="23" series="1">
      <pivotArea type="data" outline="0" fieldPosition="0">
        <references count="2">
          <reference field="4294967294" count="1" selected="0">
            <x v="0"/>
          </reference>
          <reference field="2" count="1" selected="0">
            <x v="23"/>
          </reference>
        </references>
      </pivotArea>
    </chartFormat>
    <chartFormat chart="4" format="24" series="1">
      <pivotArea type="data" outline="0" fieldPosition="0">
        <references count="2">
          <reference field="4294967294" count="1" selected="0">
            <x v="0"/>
          </reference>
          <reference field="2" count="1" selected="0">
            <x v="24"/>
          </reference>
        </references>
      </pivotArea>
    </chartFormat>
    <chartFormat chart="4" format="25" series="1">
      <pivotArea type="data" outline="0" fieldPosition="0">
        <references count="2">
          <reference field="4294967294" count="1" selected="0">
            <x v="0"/>
          </reference>
          <reference field="2" count="1" selected="0">
            <x v="25"/>
          </reference>
        </references>
      </pivotArea>
    </chartFormat>
    <chartFormat chart="4" format="26" series="1">
      <pivotArea type="data" outline="0" fieldPosition="0">
        <references count="2">
          <reference field="4294967294" count="1" selected="0">
            <x v="0"/>
          </reference>
          <reference field="2" count="1" selected="0">
            <x v="26"/>
          </reference>
        </references>
      </pivotArea>
    </chartFormat>
    <chartFormat chart="4" format="27" series="1">
      <pivotArea type="data" outline="0" fieldPosition="0">
        <references count="2">
          <reference field="4294967294" count="1" selected="0">
            <x v="0"/>
          </reference>
          <reference field="2" count="1" selected="0">
            <x v="27"/>
          </reference>
        </references>
      </pivotArea>
    </chartFormat>
    <chartFormat chart="4" format="28" series="1">
      <pivotArea type="data" outline="0" fieldPosition="0">
        <references count="2">
          <reference field="4294967294" count="1" selected="0">
            <x v="0"/>
          </reference>
          <reference field="2" count="1" selected="0">
            <x v="28"/>
          </reference>
        </references>
      </pivotArea>
    </chartFormat>
    <chartFormat chart="4" format="29" series="1">
      <pivotArea type="data" outline="0" fieldPosition="0">
        <references count="2">
          <reference field="4294967294" count="1" selected="0">
            <x v="0"/>
          </reference>
          <reference field="2" count="1" selected="0">
            <x v="29"/>
          </reference>
        </references>
      </pivotArea>
    </chartFormat>
    <chartFormat chart="4" format="30" series="1">
      <pivotArea type="data" outline="0" fieldPosition="0">
        <references count="2">
          <reference field="4294967294" count="1" selected="0">
            <x v="0"/>
          </reference>
          <reference field="2" count="1" selected="0">
            <x v="30"/>
          </reference>
        </references>
      </pivotArea>
    </chartFormat>
    <chartFormat chart="4" format="31" series="1">
      <pivotArea type="data" outline="0" fieldPosition="0">
        <references count="2">
          <reference field="4294967294" count="1" selected="0">
            <x v="0"/>
          </reference>
          <reference field="2" count="1" selected="0">
            <x v="31"/>
          </reference>
        </references>
      </pivotArea>
    </chartFormat>
    <chartFormat chart="4" format="32" series="1">
      <pivotArea type="data" outline="0" fieldPosition="0">
        <references count="2">
          <reference field="4294967294" count="1" selected="0">
            <x v="0"/>
          </reference>
          <reference field="2" count="1" selected="0">
            <x v="32"/>
          </reference>
        </references>
      </pivotArea>
    </chartFormat>
    <chartFormat chart="4" format="33" series="1">
      <pivotArea type="data" outline="0" fieldPosition="0">
        <references count="2">
          <reference field="4294967294" count="1" selected="0">
            <x v="0"/>
          </reference>
          <reference field="2" count="1" selected="0">
            <x v="33"/>
          </reference>
        </references>
      </pivotArea>
    </chartFormat>
    <chartFormat chart="4" format="34" series="1">
      <pivotArea type="data" outline="0" fieldPosition="0">
        <references count="2">
          <reference field="4294967294" count="1" selected="0">
            <x v="0"/>
          </reference>
          <reference field="2" count="1" selected="0">
            <x v="34"/>
          </reference>
        </references>
      </pivotArea>
    </chartFormat>
    <chartFormat chart="4" format="35" series="1">
      <pivotArea type="data" outline="0" fieldPosition="0">
        <references count="2">
          <reference field="4294967294" count="1" selected="0">
            <x v="0"/>
          </reference>
          <reference field="2" count="1" selected="0">
            <x v="35"/>
          </reference>
        </references>
      </pivotArea>
    </chartFormat>
    <chartFormat chart="4" format="36" series="1">
      <pivotArea type="data" outline="0" fieldPosition="0">
        <references count="2">
          <reference field="4294967294" count="1" selected="0">
            <x v="0"/>
          </reference>
          <reference field="2" count="1" selected="0">
            <x v="36"/>
          </reference>
        </references>
      </pivotArea>
    </chartFormat>
    <chartFormat chart="4" format="37" series="1">
      <pivotArea type="data" outline="0" fieldPosition="0">
        <references count="2">
          <reference field="4294967294" count="1" selected="0">
            <x v="0"/>
          </reference>
          <reference field="2" count="1" selected="0">
            <x v="37"/>
          </reference>
        </references>
      </pivotArea>
    </chartFormat>
    <chartFormat chart="4" format="38" series="1">
      <pivotArea type="data" outline="0" fieldPosition="0">
        <references count="2">
          <reference field="4294967294" count="1" selected="0">
            <x v="0"/>
          </reference>
          <reference field="2" count="1" selected="0">
            <x v="38"/>
          </reference>
        </references>
      </pivotArea>
    </chartFormat>
    <chartFormat chart="4" format="39" series="1">
      <pivotArea type="data" outline="0" fieldPosition="0">
        <references count="2">
          <reference field="4294967294" count="1" selected="0">
            <x v="0"/>
          </reference>
          <reference field="2" count="1" selected="0">
            <x v="39"/>
          </reference>
        </references>
      </pivotArea>
    </chartFormat>
    <chartFormat chart="4" format="40" series="1">
      <pivotArea type="data" outline="0" fieldPosition="0">
        <references count="2">
          <reference field="4294967294" count="1" selected="0">
            <x v="0"/>
          </reference>
          <reference field="2" count="1" selected="0">
            <x v="40"/>
          </reference>
        </references>
      </pivotArea>
    </chartFormat>
    <chartFormat chart="4" format="41" series="1">
      <pivotArea type="data" outline="0" fieldPosition="0">
        <references count="2">
          <reference field="4294967294" count="1" selected="0">
            <x v="0"/>
          </reference>
          <reference field="2" count="1" selected="0">
            <x v="41"/>
          </reference>
        </references>
      </pivotArea>
    </chartFormat>
    <chartFormat chart="4" format="42" series="1">
      <pivotArea type="data" outline="0" fieldPosition="0">
        <references count="2">
          <reference field="4294967294" count="1" selected="0">
            <x v="0"/>
          </reference>
          <reference field="2" count="1" selected="0">
            <x v="42"/>
          </reference>
        </references>
      </pivotArea>
    </chartFormat>
    <chartFormat chart="4" format="43" series="1">
      <pivotArea type="data" outline="0" fieldPosition="0">
        <references count="2">
          <reference field="4294967294" count="1" selected="0">
            <x v="0"/>
          </reference>
          <reference field="2" count="1" selected="0">
            <x v="43"/>
          </reference>
        </references>
      </pivotArea>
    </chartFormat>
    <chartFormat chart="4" format="44" series="1">
      <pivotArea type="data" outline="0" fieldPosition="0">
        <references count="2">
          <reference field="4294967294" count="1" selected="0">
            <x v="0"/>
          </reference>
          <reference field="2" count="1" selected="0">
            <x v="44"/>
          </reference>
        </references>
      </pivotArea>
    </chartFormat>
    <chartFormat chart="4" format="45" series="1">
      <pivotArea type="data" outline="0" fieldPosition="0">
        <references count="2">
          <reference field="4294967294" count="1" selected="0">
            <x v="0"/>
          </reference>
          <reference field="2" count="1" selected="0">
            <x v="45"/>
          </reference>
        </references>
      </pivotArea>
    </chartFormat>
    <chartFormat chart="4" format="46" series="1">
      <pivotArea type="data" outline="0" fieldPosition="0">
        <references count="2">
          <reference field="4294967294" count="1" selected="0">
            <x v="0"/>
          </reference>
          <reference field="2" count="1" selected="0">
            <x v="46"/>
          </reference>
        </references>
      </pivotArea>
    </chartFormat>
    <chartFormat chart="4" format="47" series="1">
      <pivotArea type="data" outline="0" fieldPosition="0">
        <references count="2">
          <reference field="4294967294" count="1" selected="0">
            <x v="0"/>
          </reference>
          <reference field="2" count="1" selected="0">
            <x v="47"/>
          </reference>
        </references>
      </pivotArea>
    </chartFormat>
    <chartFormat chart="4" format="48" series="1">
      <pivotArea type="data" outline="0" fieldPosition="0">
        <references count="2">
          <reference field="4294967294" count="1" selected="0">
            <x v="0"/>
          </reference>
          <reference field="2" count="1" selected="0">
            <x v="48"/>
          </reference>
        </references>
      </pivotArea>
    </chartFormat>
    <chartFormat chart="4" format="49" series="1">
      <pivotArea type="data" outline="0" fieldPosition="0">
        <references count="2">
          <reference field="4294967294" count="1" selected="0">
            <x v="0"/>
          </reference>
          <reference field="2" count="1" selected="0">
            <x v="49"/>
          </reference>
        </references>
      </pivotArea>
    </chartFormat>
    <chartFormat chart="4" format="50" series="1">
      <pivotArea type="data" outline="0" fieldPosition="0">
        <references count="2">
          <reference field="4294967294" count="1" selected="0">
            <x v="0"/>
          </reference>
          <reference field="2" count="1" selected="0">
            <x v="50"/>
          </reference>
        </references>
      </pivotArea>
    </chartFormat>
    <chartFormat chart="4" format="51" series="1">
      <pivotArea type="data" outline="0" fieldPosition="0">
        <references count="2">
          <reference field="4294967294" count="1" selected="0">
            <x v="0"/>
          </reference>
          <reference field="2" count="1" selected="0">
            <x v="51"/>
          </reference>
        </references>
      </pivotArea>
    </chartFormat>
    <chartFormat chart="4" format="52" series="1">
      <pivotArea type="data" outline="0" fieldPosition="0">
        <references count="2">
          <reference field="4294967294" count="1" selected="0">
            <x v="0"/>
          </reference>
          <reference field="2" count="1" selected="0">
            <x v="52"/>
          </reference>
        </references>
      </pivotArea>
    </chartFormat>
    <chartFormat chart="4" format="53" series="1">
      <pivotArea type="data" outline="0" fieldPosition="0">
        <references count="2">
          <reference field="4294967294" count="1" selected="0">
            <x v="0"/>
          </reference>
          <reference field="2" count="1" selected="0">
            <x v="53"/>
          </reference>
        </references>
      </pivotArea>
    </chartFormat>
    <chartFormat chart="4" format="54" series="1">
      <pivotArea type="data" outline="0" fieldPosition="0">
        <references count="2">
          <reference field="4294967294" count="1" selected="0">
            <x v="0"/>
          </reference>
          <reference field="2" count="1" selected="0">
            <x v="54"/>
          </reference>
        </references>
      </pivotArea>
    </chartFormat>
    <chartFormat chart="4" format="55" series="1">
      <pivotArea type="data" outline="0" fieldPosition="0">
        <references count="2">
          <reference field="4294967294" count="1" selected="0">
            <x v="0"/>
          </reference>
          <reference field="2" count="1" selected="0">
            <x v="55"/>
          </reference>
        </references>
      </pivotArea>
    </chartFormat>
    <chartFormat chart="4" format="56" series="1">
      <pivotArea type="data" outline="0" fieldPosition="0">
        <references count="2">
          <reference field="4294967294" count="1" selected="0">
            <x v="0"/>
          </reference>
          <reference field="2" count="1" selected="0">
            <x v="56"/>
          </reference>
        </references>
      </pivotArea>
    </chartFormat>
    <chartFormat chart="4" format="57" series="1">
      <pivotArea type="data" outline="0" fieldPosition="0">
        <references count="2">
          <reference field="4294967294" count="1" selected="0">
            <x v="0"/>
          </reference>
          <reference field="2" count="1" selected="0">
            <x v="57"/>
          </reference>
        </references>
      </pivotArea>
    </chartFormat>
    <chartFormat chart="4" format="58" series="1">
      <pivotArea type="data" outline="0" fieldPosition="0">
        <references count="2">
          <reference field="4294967294" count="1" selected="0">
            <x v="0"/>
          </reference>
          <reference field="2" count="1" selected="0">
            <x v="58"/>
          </reference>
        </references>
      </pivotArea>
    </chartFormat>
    <chartFormat chart="4" format="59" series="1">
      <pivotArea type="data" outline="0" fieldPosition="0">
        <references count="2">
          <reference field="4294967294" count="1" selected="0">
            <x v="0"/>
          </reference>
          <reference field="2" count="1" selected="0">
            <x v="59"/>
          </reference>
        </references>
      </pivotArea>
    </chartFormat>
    <chartFormat chart="4" format="60" series="1">
      <pivotArea type="data" outline="0" fieldPosition="0">
        <references count="2">
          <reference field="4294967294" count="1" selected="0">
            <x v="0"/>
          </reference>
          <reference field="2" count="1" selected="0">
            <x v="60"/>
          </reference>
        </references>
      </pivotArea>
    </chartFormat>
    <chartFormat chart="4" format="61" series="1">
      <pivotArea type="data" outline="0" fieldPosition="0">
        <references count="2">
          <reference field="4294967294" count="1" selected="0">
            <x v="0"/>
          </reference>
          <reference field="2" count="1" selected="0">
            <x v="61"/>
          </reference>
        </references>
      </pivotArea>
    </chartFormat>
    <chartFormat chart="4" format="62" series="1">
      <pivotArea type="data" outline="0" fieldPosition="0">
        <references count="2">
          <reference field="4294967294" count="1" selected="0">
            <x v="0"/>
          </reference>
          <reference field="2" count="1" selected="0">
            <x v="62"/>
          </reference>
        </references>
      </pivotArea>
    </chartFormat>
    <chartFormat chart="4" format="63" series="1">
      <pivotArea type="data" outline="0" fieldPosition="0">
        <references count="2">
          <reference field="4294967294" count="1" selected="0">
            <x v="0"/>
          </reference>
          <reference field="2" count="1" selected="0">
            <x v="63"/>
          </reference>
        </references>
      </pivotArea>
    </chartFormat>
    <chartFormat chart="4" format="64" series="1">
      <pivotArea type="data" outline="0" fieldPosition="0">
        <references count="2">
          <reference field="4294967294" count="1" selected="0">
            <x v="0"/>
          </reference>
          <reference field="2" count="1" selected="0">
            <x v="64"/>
          </reference>
        </references>
      </pivotArea>
    </chartFormat>
    <chartFormat chart="4" format="65" series="1">
      <pivotArea type="data" outline="0" fieldPosition="0">
        <references count="2">
          <reference field="4294967294" count="1" selected="0">
            <x v="0"/>
          </reference>
          <reference field="2" count="1" selected="0">
            <x v="65"/>
          </reference>
        </references>
      </pivotArea>
    </chartFormat>
    <chartFormat chart="4" format="66" series="1">
      <pivotArea type="data" outline="0" fieldPosition="0">
        <references count="2">
          <reference field="4294967294" count="1" selected="0">
            <x v="0"/>
          </reference>
          <reference field="2" count="1" selected="0">
            <x v="66"/>
          </reference>
        </references>
      </pivotArea>
    </chartFormat>
    <chartFormat chart="4" format="67" series="1">
      <pivotArea type="data" outline="0" fieldPosition="0">
        <references count="2">
          <reference field="4294967294" count="1" selected="0">
            <x v="0"/>
          </reference>
          <reference field="2" count="1" selected="0">
            <x v="67"/>
          </reference>
        </references>
      </pivotArea>
    </chartFormat>
    <chartFormat chart="4" format="68" series="1">
      <pivotArea type="data" outline="0" fieldPosition="0">
        <references count="2">
          <reference field="4294967294" count="1" selected="0">
            <x v="0"/>
          </reference>
          <reference field="2" count="1" selected="0">
            <x v="68"/>
          </reference>
        </references>
      </pivotArea>
    </chartFormat>
    <chartFormat chart="4" format="69" series="1">
      <pivotArea type="data" outline="0" fieldPosition="0">
        <references count="2">
          <reference field="4294967294" count="1" selected="0">
            <x v="0"/>
          </reference>
          <reference field="2" count="1" selected="0">
            <x v="69"/>
          </reference>
        </references>
      </pivotArea>
    </chartFormat>
    <chartFormat chart="4" format="70" series="1">
      <pivotArea type="data" outline="0" fieldPosition="0">
        <references count="2">
          <reference field="4294967294" count="1" selected="0">
            <x v="0"/>
          </reference>
          <reference field="2" count="1" selected="0">
            <x v="70"/>
          </reference>
        </references>
      </pivotArea>
    </chartFormat>
    <chartFormat chart="4" format="71" series="1">
      <pivotArea type="data" outline="0" fieldPosition="0">
        <references count="2">
          <reference field="4294967294" count="1" selected="0">
            <x v="0"/>
          </reference>
          <reference field="2" count="1" selected="0">
            <x v="71"/>
          </reference>
        </references>
      </pivotArea>
    </chartFormat>
    <chartFormat chart="4" format="72" series="1">
      <pivotArea type="data" outline="0" fieldPosition="0">
        <references count="2">
          <reference field="4294967294" count="1" selected="0">
            <x v="0"/>
          </reference>
          <reference field="2" count="1" selected="0">
            <x v="72"/>
          </reference>
        </references>
      </pivotArea>
    </chartFormat>
    <chartFormat chart="4" format="73" series="1">
      <pivotArea type="data" outline="0" fieldPosition="0">
        <references count="2">
          <reference field="4294967294" count="1" selected="0">
            <x v="0"/>
          </reference>
          <reference field="2" count="1" selected="0">
            <x v="73"/>
          </reference>
        </references>
      </pivotArea>
    </chartFormat>
    <chartFormat chart="4" format="74" series="1">
      <pivotArea type="data" outline="0" fieldPosition="0">
        <references count="2">
          <reference field="4294967294" count="1" selected="0">
            <x v="0"/>
          </reference>
          <reference field="2" count="1" selected="0">
            <x v="74"/>
          </reference>
        </references>
      </pivotArea>
    </chartFormat>
    <chartFormat chart="4" format="75" series="1">
      <pivotArea type="data" outline="0" fieldPosition="0">
        <references count="2">
          <reference field="4294967294" count="1" selected="0">
            <x v="0"/>
          </reference>
          <reference field="2" count="1" selected="0">
            <x v="75"/>
          </reference>
        </references>
      </pivotArea>
    </chartFormat>
    <chartFormat chart="4" format="76" series="1">
      <pivotArea type="data" outline="0" fieldPosition="0">
        <references count="2">
          <reference field="4294967294" count="1" selected="0">
            <x v="0"/>
          </reference>
          <reference field="2" count="1" selected="0">
            <x v="76"/>
          </reference>
        </references>
      </pivotArea>
    </chartFormat>
    <chartFormat chart="4" format="77" series="1">
      <pivotArea type="data" outline="0" fieldPosition="0">
        <references count="2">
          <reference field="4294967294" count="1" selected="0">
            <x v="0"/>
          </reference>
          <reference field="2" count="1" selected="0">
            <x v="77"/>
          </reference>
        </references>
      </pivotArea>
    </chartFormat>
    <chartFormat chart="4" format="78" series="1">
      <pivotArea type="data" outline="0" fieldPosition="0">
        <references count="2">
          <reference field="4294967294" count="1" selected="0">
            <x v="0"/>
          </reference>
          <reference field="2" count="1" selected="0">
            <x v="78"/>
          </reference>
        </references>
      </pivotArea>
    </chartFormat>
    <chartFormat chart="4" format="79" series="1">
      <pivotArea type="data" outline="0" fieldPosition="0">
        <references count="2">
          <reference field="4294967294" count="1" selected="0">
            <x v="0"/>
          </reference>
          <reference field="2" count="1" selected="0">
            <x v="79"/>
          </reference>
        </references>
      </pivotArea>
    </chartFormat>
    <chartFormat chart="4" format="80" series="1">
      <pivotArea type="data" outline="0" fieldPosition="0">
        <references count="2">
          <reference field="4294967294" count="1" selected="0">
            <x v="0"/>
          </reference>
          <reference field="2" count="1" selected="0">
            <x v="80"/>
          </reference>
        </references>
      </pivotArea>
    </chartFormat>
    <chartFormat chart="4" format="81" series="1">
      <pivotArea type="data" outline="0" fieldPosition="0">
        <references count="2">
          <reference field="4294967294" count="1" selected="0">
            <x v="0"/>
          </reference>
          <reference field="2" count="1" selected="0">
            <x v="81"/>
          </reference>
        </references>
      </pivotArea>
    </chartFormat>
    <chartFormat chart="4" format="82" series="1">
      <pivotArea type="data" outline="0" fieldPosition="0">
        <references count="2">
          <reference field="4294967294" count="1" selected="0">
            <x v="0"/>
          </reference>
          <reference field="2" count="1" selected="0">
            <x v="82"/>
          </reference>
        </references>
      </pivotArea>
    </chartFormat>
    <chartFormat chart="4" format="83" series="1">
      <pivotArea type="data" outline="0" fieldPosition="0">
        <references count="2">
          <reference field="4294967294" count="1" selected="0">
            <x v="0"/>
          </reference>
          <reference field="2" count="1" selected="0">
            <x v="83"/>
          </reference>
        </references>
      </pivotArea>
    </chartFormat>
    <chartFormat chart="4" format="84" series="1">
      <pivotArea type="data" outline="0" fieldPosition="0">
        <references count="2">
          <reference field="4294967294" count="1" selected="0">
            <x v="0"/>
          </reference>
          <reference field="2" count="1" selected="0">
            <x v="84"/>
          </reference>
        </references>
      </pivotArea>
    </chartFormat>
    <chartFormat chart="4" format="85" series="1">
      <pivotArea type="data" outline="0" fieldPosition="0">
        <references count="2">
          <reference field="4294967294" count="1" selected="0">
            <x v="0"/>
          </reference>
          <reference field="2" count="1" selected="0">
            <x v="85"/>
          </reference>
        </references>
      </pivotArea>
    </chartFormat>
    <chartFormat chart="4" format="86" series="1">
      <pivotArea type="data" outline="0" fieldPosition="0">
        <references count="2">
          <reference field="4294967294" count="1" selected="0">
            <x v="0"/>
          </reference>
          <reference field="2" count="1" selected="0">
            <x v="86"/>
          </reference>
        </references>
      </pivotArea>
    </chartFormat>
    <chartFormat chart="4" format="87" series="1">
      <pivotArea type="data" outline="0" fieldPosition="0">
        <references count="2">
          <reference field="4294967294" count="1" selected="0">
            <x v="0"/>
          </reference>
          <reference field="2" count="1" selected="0">
            <x v="87"/>
          </reference>
        </references>
      </pivotArea>
    </chartFormat>
    <chartFormat chart="4" format="88" series="1">
      <pivotArea type="data" outline="0" fieldPosition="0">
        <references count="2">
          <reference field="4294967294" count="1" selected="0">
            <x v="0"/>
          </reference>
          <reference field="2" count="1" selected="0">
            <x v="88"/>
          </reference>
        </references>
      </pivotArea>
    </chartFormat>
    <chartFormat chart="4" format="89" series="1">
      <pivotArea type="data" outline="0" fieldPosition="0">
        <references count="2">
          <reference field="4294967294" count="1" selected="0">
            <x v="0"/>
          </reference>
          <reference field="2" count="1" selected="0">
            <x v="89"/>
          </reference>
        </references>
      </pivotArea>
    </chartFormat>
    <chartFormat chart="4" format="90" series="1">
      <pivotArea type="data" outline="0" fieldPosition="0">
        <references count="2">
          <reference field="4294967294" count="1" selected="0">
            <x v="0"/>
          </reference>
          <reference field="2" count="1" selected="0">
            <x v="90"/>
          </reference>
        </references>
      </pivotArea>
    </chartFormat>
    <chartFormat chart="4" format="91" series="1">
      <pivotArea type="data" outline="0" fieldPosition="0">
        <references count="2">
          <reference field="4294967294" count="1" selected="0">
            <x v="0"/>
          </reference>
          <reference field="2" count="1" selected="0">
            <x v="91"/>
          </reference>
        </references>
      </pivotArea>
    </chartFormat>
    <chartFormat chart="4" format="92" series="1">
      <pivotArea type="data" outline="0" fieldPosition="0">
        <references count="2">
          <reference field="4294967294" count="1" selected="0">
            <x v="0"/>
          </reference>
          <reference field="2" count="1" selected="0">
            <x v="92"/>
          </reference>
        </references>
      </pivotArea>
    </chartFormat>
    <chartFormat chart="4" format="93" series="1">
      <pivotArea type="data" outline="0" fieldPosition="0">
        <references count="2">
          <reference field="4294967294" count="1" selected="0">
            <x v="0"/>
          </reference>
          <reference field="2" count="1" selected="0">
            <x v="93"/>
          </reference>
        </references>
      </pivotArea>
    </chartFormat>
    <chartFormat chart="4" format="94" series="1">
      <pivotArea type="data" outline="0" fieldPosition="0">
        <references count="2">
          <reference field="4294967294" count="1" selected="0">
            <x v="0"/>
          </reference>
          <reference field="2" count="1" selected="0">
            <x v="94"/>
          </reference>
        </references>
      </pivotArea>
    </chartFormat>
    <chartFormat chart="4" format="95" series="1">
      <pivotArea type="data" outline="0" fieldPosition="0">
        <references count="2">
          <reference field="4294967294" count="1" selected="0">
            <x v="0"/>
          </reference>
          <reference field="2" count="1" selected="0">
            <x v="95"/>
          </reference>
        </references>
      </pivotArea>
    </chartFormat>
    <chartFormat chart="4" format="96" series="1">
      <pivotArea type="data" outline="0" fieldPosition="0">
        <references count="2">
          <reference field="4294967294" count="1" selected="0">
            <x v="0"/>
          </reference>
          <reference field="2" count="1" selected="0">
            <x v="96"/>
          </reference>
        </references>
      </pivotArea>
    </chartFormat>
    <chartFormat chart="4" format="97" series="1">
      <pivotArea type="data" outline="0" fieldPosition="0">
        <references count="2">
          <reference field="4294967294" count="1" selected="0">
            <x v="0"/>
          </reference>
          <reference field="2" count="1" selected="0">
            <x v="97"/>
          </reference>
        </references>
      </pivotArea>
    </chartFormat>
    <chartFormat chart="4" format="98" series="1">
      <pivotArea type="data" outline="0" fieldPosition="0">
        <references count="2">
          <reference field="4294967294" count="1" selected="0">
            <x v="0"/>
          </reference>
          <reference field="2" count="1" selected="0">
            <x v="98"/>
          </reference>
        </references>
      </pivotArea>
    </chartFormat>
    <chartFormat chart="4" format="99" series="1">
      <pivotArea type="data" outline="0" fieldPosition="0">
        <references count="2">
          <reference field="4294967294" count="1" selected="0">
            <x v="0"/>
          </reference>
          <reference field="2" count="1" selected="0">
            <x v="99"/>
          </reference>
        </references>
      </pivotArea>
    </chartFormat>
    <chartFormat chart="4" format="100" series="1">
      <pivotArea type="data" outline="0" fieldPosition="0">
        <references count="2">
          <reference field="4294967294" count="1" selected="0">
            <x v="0"/>
          </reference>
          <reference field="2" count="1" selected="0">
            <x v="100"/>
          </reference>
        </references>
      </pivotArea>
    </chartFormat>
    <chartFormat chart="7" format="104" series="1">
      <pivotArea type="data" outline="0" fieldPosition="0">
        <references count="2">
          <reference field="4294967294" count="1" selected="0">
            <x v="0"/>
          </reference>
          <reference field="2" count="1" selected="0">
            <x v="24"/>
          </reference>
        </references>
      </pivotArea>
    </chartFormat>
    <chartFormat chart="7" format="105" series="1">
      <pivotArea type="data" outline="0" fieldPosition="0">
        <references count="2">
          <reference field="4294967294" count="1" selected="0">
            <x v="0"/>
          </reference>
          <reference field="2" count="1" selected="0">
            <x v="29"/>
          </reference>
        </references>
      </pivotArea>
    </chartFormat>
    <chartFormat chart="7" format="106" series="1">
      <pivotArea type="data" outline="0" fieldPosition="0">
        <references count="2">
          <reference field="4294967294" count="1" selected="0">
            <x v="0"/>
          </reference>
          <reference field="2" count="1" selected="0">
            <x v="82"/>
          </reference>
        </references>
      </pivotArea>
    </chartFormat>
    <chartFormat chart="7" format="107" series="1">
      <pivotArea type="data" outline="0" fieldPosition="0">
        <references count="2">
          <reference field="4294967294" count="1" selected="0">
            <x v="0"/>
          </reference>
          <reference field="2" count="1" selected="0">
            <x v="36"/>
          </reference>
        </references>
      </pivotArea>
    </chartFormat>
    <chartFormat chart="7" format="108" series="1">
      <pivotArea type="data" outline="0" fieldPosition="0">
        <references count="2">
          <reference field="4294967294" count="1" selected="0">
            <x v="0"/>
          </reference>
          <reference field="2" count="1" selected="0">
            <x v="6"/>
          </reference>
        </references>
      </pivotArea>
    </chartFormat>
    <chartFormat chart="7" format="109" series="1">
      <pivotArea type="data" outline="0" fieldPosition="0">
        <references count="2">
          <reference field="4294967294" count="1" selected="0">
            <x v="0"/>
          </reference>
          <reference field="2" count="1" selected="0">
            <x v="8"/>
          </reference>
        </references>
      </pivotArea>
    </chartFormat>
    <chartFormat chart="7" format="110" series="1">
      <pivotArea type="data" outline="0" fieldPosition="0">
        <references count="2">
          <reference field="4294967294" count="1" selected="0">
            <x v="0"/>
          </reference>
          <reference field="2" count="1" selected="0">
            <x v="33"/>
          </reference>
        </references>
      </pivotArea>
    </chartFormat>
    <chartFormat chart="7" format="111" series="1">
      <pivotArea type="data" outline="0" fieldPosition="0">
        <references count="2">
          <reference field="4294967294" count="1" selected="0">
            <x v="0"/>
          </reference>
          <reference field="2" count="1" selected="0">
            <x v="25"/>
          </reference>
        </references>
      </pivotArea>
    </chartFormat>
    <chartFormat chart="7" format="112" series="1">
      <pivotArea type="data" outline="0" fieldPosition="0">
        <references count="2">
          <reference field="4294967294" count="1" selected="0">
            <x v="0"/>
          </reference>
          <reference field="2" count="1" selected="0">
            <x v="17"/>
          </reference>
        </references>
      </pivotArea>
    </chartFormat>
    <chartFormat chart="7" format="113" series="1">
      <pivotArea type="data" outline="0" fieldPosition="0">
        <references count="2">
          <reference field="4294967294" count="1" selected="0">
            <x v="0"/>
          </reference>
          <reference field="2" count="1" selected="0">
            <x v="19"/>
          </reference>
        </references>
      </pivotArea>
    </chartFormat>
    <chartFormat chart="7" format="114" series="1">
      <pivotArea type="data" outline="0" fieldPosition="0">
        <references count="2">
          <reference field="4294967294" count="1" selected="0">
            <x v="0"/>
          </reference>
          <reference field="2" count="1" selected="0">
            <x v="20"/>
          </reference>
        </references>
      </pivotArea>
    </chartFormat>
    <chartFormat chart="7" format="115" series="1">
      <pivotArea type="data" outline="0" fieldPosition="0">
        <references count="2">
          <reference field="4294967294" count="1" selected="0">
            <x v="0"/>
          </reference>
          <reference field="2" count="1" selected="0">
            <x v="21"/>
          </reference>
        </references>
      </pivotArea>
    </chartFormat>
    <chartFormat chart="7" format="116" series="1">
      <pivotArea type="data" outline="0" fieldPosition="0">
        <references count="2">
          <reference field="4294967294" count="1" selected="0">
            <x v="0"/>
          </reference>
          <reference field="2" count="1" selected="0">
            <x v="65"/>
          </reference>
        </references>
      </pivotArea>
    </chartFormat>
    <chartFormat chart="7" format="117" series="1">
      <pivotArea type="data" outline="0" fieldPosition="0">
        <references count="2">
          <reference field="4294967294" count="1" selected="0">
            <x v="0"/>
          </reference>
          <reference field="2" count="1" selected="0">
            <x v="84"/>
          </reference>
        </references>
      </pivotArea>
    </chartFormat>
    <chartFormat chart="7" format="118" series="1">
      <pivotArea type="data" outline="0" fieldPosition="0">
        <references count="2">
          <reference field="4294967294" count="1" selected="0">
            <x v="0"/>
          </reference>
          <reference field="2" count="1" selected="0">
            <x v="15"/>
          </reference>
        </references>
      </pivotArea>
    </chartFormat>
    <chartFormat chart="7" format="119" series="1">
      <pivotArea type="data" outline="0" fieldPosition="0">
        <references count="2">
          <reference field="4294967294" count="1" selected="0">
            <x v="0"/>
          </reference>
          <reference field="2" count="1" selected="0">
            <x v="28"/>
          </reference>
        </references>
      </pivotArea>
    </chartFormat>
    <chartFormat chart="7" format="120" series="1">
      <pivotArea type="data" outline="0" fieldPosition="0">
        <references count="2">
          <reference field="4294967294" count="1" selected="0">
            <x v="0"/>
          </reference>
          <reference field="2" count="1" selected="0">
            <x v="6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E3EFC53-5F82-4A79-9E64-86D663710041}" sourceName="Country">
  <pivotTables>
    <pivotTable tabId="4" name="PivotTable3"/>
  </pivotTables>
  <data>
    <tabular pivotCacheId="1211317124">
      <items count="56">
        <i x="0"/>
        <i x="1"/>
        <i x="2"/>
        <i x="3"/>
        <i x="4"/>
        <i x="5"/>
        <i x="6"/>
        <i x="7"/>
        <i x="8"/>
        <i x="9"/>
        <i x="10"/>
        <i x="11"/>
        <i x="12"/>
        <i x="13"/>
        <i x="14"/>
        <i x="15"/>
        <i x="16"/>
        <i x="17"/>
        <i x="18"/>
        <i x="19"/>
        <i x="20"/>
        <i x="21"/>
        <i x="22"/>
        <i x="23"/>
        <i x="24"/>
        <i x="25"/>
        <i x="26" s="1"/>
        <i x="27"/>
        <i x="28"/>
        <i x="29"/>
        <i x="30"/>
        <i x="31"/>
        <i x="32"/>
        <i x="33"/>
        <i x="34"/>
        <i x="35"/>
        <i x="36"/>
        <i x="37"/>
        <i x="38"/>
        <i x="39"/>
        <i x="40"/>
        <i x="41"/>
        <i x="42"/>
        <i x="43"/>
        <i x="44"/>
        <i x="45"/>
        <i x="46"/>
        <i x="47"/>
        <i x="48"/>
        <i x="49"/>
        <i x="50"/>
        <i x="51"/>
        <i x="52"/>
        <i x="53"/>
        <i x="54"/>
        <i x="5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3F86A28-06E2-4C14-919B-EFB81ED05FCD}" sourceName="Country">
  <pivotTables>
    <pivotTable tabId="8" name="PivotTable4"/>
  </pivotTables>
  <data>
    <tabular pivotCacheId="1187829505">
      <items count="55">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s="1"/>
        <i x="5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3B9B429-8996-4B7D-986C-AC3849C5CEC0}" cache="Slicer_Country1" caption="Country" startItem="2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A993512-8704-47CE-82DD-2D6970B67830}" cache="Slicer_Country" caption="Country" startItem="3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D6197C-3B0C-46ED-9EB1-944536B0F4E9}" name="Table1" displayName="Table1" ref="A1:N163" totalsRowShown="0" headerRowDxfId="32" headerRowBorderDxfId="31" tableBorderDxfId="30">
  <autoFilter ref="A1:N163" xr:uid="{EAD6197C-3B0C-46ED-9EB1-944536B0F4E9}"/>
  <tableColumns count="14">
    <tableColumn id="1" xr3:uid="{49C9C7A8-31DA-4ABA-90BB-511D99E83B06}" name="Name of Country"/>
    <tableColumn id="2" xr3:uid="{AA787B8D-9333-4A3E-8551-EBBEC9B6E3ED}" name="Year"/>
    <tableColumn id="3" xr3:uid="{658A180C-2F70-4C36-8961-88E5BBFA97D6}" name="Top 1 Import"/>
    <tableColumn id="4" xr3:uid="{32E1AADD-08C5-4DAC-BC43-B121AE67A90A}" name="Top 1 Import Value" dataDxfId="29"/>
    <tableColumn id="13" xr3:uid="{C7B14386-E188-4B59-AEE8-9572DBF3903E}" name="Top 1 Import Value  " dataDxfId="28">
      <calculatedColumnFormula>IF(RIGHT(D2,1)="M",VALUE(LEFT(D2,LEN(D2)-1))*1000000,IF(RIGHT(D2,1)="B",VALUE(LEFT(D2,LEN(D2)-1))*1000000000,IF(RIGHT(D2,1)="K",VALUE(LEFT(D2,LEN(D2)-1))*1000,D2)))</calculatedColumnFormula>
    </tableColumn>
    <tableColumn id="5" xr3:uid="{9582C18C-C6F3-409F-883F-9C721A826AEC}" name="Source Country(Top)"/>
    <tableColumn id="6" xr3:uid="{80F993F2-FE71-4C8D-B42C-DB75CDAE5EC8}" name="Top 2 Import"/>
    <tableColumn id="7" xr3:uid="{4A8A036D-9936-45C2-BBFD-F32196CD8364}" name="Top 2 Import Value"/>
    <tableColumn id="14" xr3:uid="{6844F304-E8AC-4BC1-ADAE-8017039EBB36}" name="Top 2 Import Value    " dataDxfId="27">
      <calculatedColumnFormula>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calculatedColumnFormula>
    </tableColumn>
    <tableColumn id="8" xr3:uid="{1BB697B9-E7DF-42B0-BA02-ECBBDE274249}" name="Source Country (Top)"/>
    <tableColumn id="9" xr3:uid="{2C33DDD3-850C-48D3-9CDC-21F23A4ECA08}" name="Top 3 Import"/>
    <tableColumn id="10" xr3:uid="{67059C05-605F-4792-AC46-69B6FA4AFB57}" name="Top 3 Import Value"/>
    <tableColumn id="15" xr3:uid="{DBD012D2-F034-4CCB-9940-78C43BAB474E}" name="Top 3 Import Value    " dataDxfId="26">
      <calculatedColumnFormula>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calculatedColumnFormula>
    </tableColumn>
    <tableColumn id="11" xr3:uid="{4C42E9E6-F421-43EB-AEDB-68EAA645A96C}" name="Source Country  (Top)"/>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83F75-08C6-4906-933D-940D2AC2A0DA}" name="Table2" displayName="Table2" ref="A1:N163" totalsRowShown="0" headerRowDxfId="25" dataDxfId="23" headerRowBorderDxfId="24" tableBorderDxfId="22">
  <autoFilter ref="A1:N163" xr:uid="{F0883F75-08C6-4906-933D-940D2AC2A0DA}"/>
  <tableColumns count="14">
    <tableColumn id="1" xr3:uid="{8436B893-F622-4FA4-86C7-04D3CB485D82}" name="Country" dataDxfId="21"/>
    <tableColumn id="2" xr3:uid="{30788E59-9D2E-4623-B358-D409E91E183F}" name="Year" dataDxfId="20"/>
    <tableColumn id="3" xr3:uid="{4F2101EF-27F0-46F2-BB6D-F75A2176077C}" name="Top 1 Export" dataDxfId="19"/>
    <tableColumn id="4" xr3:uid="{F8DDCDCE-B5D5-4B29-B155-5230A9EE956D}" name="Top 1 Export Value" dataDxfId="18"/>
    <tableColumn id="13" xr3:uid="{DC7A605D-4D4D-4BAF-A533-A42D7E7809FC}" name="Top 1 Export Value2" dataDxfId="17">
      <calculatedColumnFormula>IF(RIGHT(D2,1)="M",VALUE(LEFT(D2,LEN(D2)-1))*1000000,IF(RIGHT(D2,1)="B",VALUE(LEFT(D2,LEN(D2)-1))*1000000000,IF(RIGHT(D2,1)="K",VALUE(LEFT(D2,LEN(D2)-1))*1000,D2)))</calculatedColumnFormula>
    </tableColumn>
    <tableColumn id="5" xr3:uid="{2BFEFA21-BB6D-454F-A4AD-D3A36394866C}" name="Destination Country(Top Country Exported to)" dataDxfId="16"/>
    <tableColumn id="6" xr3:uid="{C0D849CD-1D8F-4475-98B7-C5313A6B82AF}" name="Top 2 Export" dataDxfId="15"/>
    <tableColumn id="7" xr3:uid="{2675581F-9A00-4638-9022-1B7F624DB336}" name="Top 2 Export Value" dataDxfId="14"/>
    <tableColumn id="12" xr3:uid="{B74AF34C-84B7-4F6F-A71D-A7BE6DA653BA}" name="Top 2 Export Value2" dataDxfId="13">
      <calculatedColumnFormula>IF(RIGHT(Table2[[#This Row],[Top 2 Export Value]],1)="M",VALUE(LEFT(Table2[[#This Row],[Top 2 Export Value]],LEN(Table2[[#This Row],[Top 2 Export Value]])-1))*1000000,IF(RIGHT(Table2[[#This Row],[Top 2 Export Value]],1)="B",VALUE(LEFT(Table2[[#This Row],[Top 2 Export Value]],LEN(Table2[[#This Row],[Top 2 Export Value]])-1))*1000000000,IF(RIGHT(D2,1)="k",VALUE(LEFT(Table2[[#This Row],[Top 2 Export Value]],LEN(Table2[[#This Row],[Top 2 Export Value]])-1))*1000,Table2[[#This Row],[Top 2 Export Value]])))</calculatedColumnFormula>
    </tableColumn>
    <tableColumn id="8" xr3:uid="{1E2E05BD-840B-44C1-99CF-EFF2B2D8C5EA}" name="Destination Country(Top Country Exported to)  " dataDxfId="12"/>
    <tableColumn id="9" xr3:uid="{CB11BF19-9D93-4593-B3FF-D8AF6B2FB397}" name="Top 3 Export" dataDxfId="11"/>
    <tableColumn id="10" xr3:uid="{57E215BE-1F50-4019-8570-96150C539330}" name="Top 3 Export Value" dataDxfId="10"/>
    <tableColumn id="14" xr3:uid="{D2CDB3C9-FA82-4440-9784-DC7B9E89DF04}" name="Top 3 Export Value  " dataDxfId="9">
      <calculatedColumnFormula>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calculatedColumnFormula>
    </tableColumn>
    <tableColumn id="11" xr3:uid="{FBE260A9-A25C-4E7F-9E07-9008BF00AE96}" name="Destination Country(Top Country Exported to)    " dataDxfId="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D5BAA2-3DD5-453F-867F-DD7882F29F3F}" name="Table4" displayName="Table4" ref="A1:F487" totalsRowShown="0" headerRowDxfId="7" headerRowBorderDxfId="6" tableBorderDxfId="5">
  <autoFilter ref="A1:F487" xr:uid="{2BD5BAA2-3DD5-453F-867F-DD7882F29F3F}"/>
  <tableColumns count="6">
    <tableColumn id="1" xr3:uid="{6ACD42C9-2D03-4A5F-A4C8-E0AA4DD79BEE}" name="Country"/>
    <tableColumn id="2" xr3:uid="{1424B4AC-BC7F-41F9-85D8-DE8643332A14}" name="Year"/>
    <tableColumn id="3" xr3:uid="{96295977-5728-4982-A812-AD137CF4CC57}" name="Product"/>
    <tableColumn id="4" xr3:uid="{A3B6EB55-D4EA-4F7D-B3DE-B66A192BA080}" name="Value(USD)" dataDxfId="4" dataCellStyle="Comma"/>
    <tableColumn id="5" xr3:uid="{A806AC1C-1929-4287-B4B7-8BE30594298E}" name="Source Country"/>
    <tableColumn id="6" xr3:uid="{F76BA00B-65D2-4322-AF68-A45E8A68A401}" name="Rank"/>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EC176D-0912-4C70-BB67-465172BC260D}" name="Table3" displayName="Table3" ref="A1:F487" totalsRowShown="0" headerRowDxfId="3" headerRowBorderDxfId="2" tableBorderDxfId="1">
  <autoFilter ref="A1:F487" xr:uid="{7BEC176D-0912-4C70-BB67-465172BC260D}"/>
  <tableColumns count="6">
    <tableColumn id="1" xr3:uid="{D11D477C-35AA-4DAC-BEEC-7D3ED8F21359}" name="Country"/>
    <tableColumn id="2" xr3:uid="{4E050436-4134-41A1-A963-3D189681F864}" name="Year"/>
    <tableColumn id="3" xr3:uid="{10362CEC-FF39-407E-92EC-E178F99D6FFA}" name="Product"/>
    <tableColumn id="4" xr3:uid="{4AD73B00-816E-431F-B164-91AAEF661D46}" name="Value(USD)" dataDxfId="0"/>
    <tableColumn id="5" xr3:uid="{C2E52AEF-BEC6-4EF5-A03B-6C7B87A5CFCF}" name="Destination Country(Top)"/>
    <tableColumn id="6" xr3:uid="{B21AF682-F305-4C43-916C-4051FC92DDCD}" name="Rank"/>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94E3-A153-461D-A95B-50E2AA69186C}">
  <dimension ref="A1:F8"/>
  <sheetViews>
    <sheetView showGridLines="0" tabSelected="1" workbookViewId="0">
      <selection activeCell="N8" sqref="N8"/>
    </sheetView>
  </sheetViews>
  <sheetFormatPr defaultRowHeight="14.4" x14ac:dyDescent="0.3"/>
  <cols>
    <col min="1" max="1" width="12.77734375" bestFit="1" customWidth="1"/>
    <col min="2" max="2" width="15.77734375" bestFit="1" customWidth="1"/>
    <col min="3" max="4" width="10" bestFit="1" customWidth="1"/>
    <col min="5" max="7" width="11" bestFit="1" customWidth="1"/>
    <col min="8" max="8" width="10.77734375" bestFit="1" customWidth="1"/>
    <col min="9" max="9" width="11" bestFit="1" customWidth="1"/>
    <col min="10" max="10" width="31" bestFit="1" customWidth="1"/>
    <col min="11" max="11" width="10.33203125" bestFit="1" customWidth="1"/>
    <col min="12" max="14" width="10" bestFit="1" customWidth="1"/>
    <col min="15" max="15" width="14.109375" bestFit="1" customWidth="1"/>
    <col min="16" max="16" width="11.33203125" bestFit="1" customWidth="1"/>
    <col min="17" max="17" width="18.88671875" bestFit="1" customWidth="1"/>
    <col min="18" max="18" width="11" bestFit="1" customWidth="1"/>
    <col min="19" max="20" width="12" bestFit="1" customWidth="1"/>
    <col min="21" max="21" width="9" bestFit="1" customWidth="1"/>
    <col min="22" max="22" width="11.6640625" bestFit="1" customWidth="1"/>
    <col min="23" max="23" width="27.109375" bestFit="1" customWidth="1"/>
    <col min="24" max="24" width="31" bestFit="1" customWidth="1"/>
    <col min="25" max="25" width="31.44140625" bestFit="1" customWidth="1"/>
    <col min="26" max="26" width="11" bestFit="1" customWidth="1"/>
    <col min="27" max="27" width="10.33203125" bestFit="1" customWidth="1"/>
    <col min="28" max="28" width="9" bestFit="1" customWidth="1"/>
    <col min="29" max="29" width="24.33203125" bestFit="1" customWidth="1"/>
    <col min="30" max="30" width="12" bestFit="1" customWidth="1"/>
    <col min="31" max="31" width="11" bestFit="1" customWidth="1"/>
    <col min="32" max="32" width="10" bestFit="1" customWidth="1"/>
    <col min="33" max="33" width="16.88671875" bestFit="1" customWidth="1"/>
    <col min="34" max="34" width="21.6640625" bestFit="1" customWidth="1"/>
    <col min="35" max="35" width="12" bestFit="1" customWidth="1"/>
    <col min="36" max="36" width="11" bestFit="1" customWidth="1"/>
    <col min="37" max="38" width="10" bestFit="1" customWidth="1"/>
    <col min="39" max="39" width="9" bestFit="1" customWidth="1"/>
    <col min="40" max="40" width="9.33203125" bestFit="1" customWidth="1"/>
    <col min="41" max="41" width="9" bestFit="1" customWidth="1"/>
    <col min="42" max="42" width="15.44140625" bestFit="1" customWidth="1"/>
    <col min="43" max="43" width="16.33203125" bestFit="1" customWidth="1"/>
    <col min="44" max="44" width="12.6640625" bestFit="1" customWidth="1"/>
    <col min="45" max="45" width="11" bestFit="1" customWidth="1"/>
    <col min="46" max="46" width="10" bestFit="1" customWidth="1"/>
    <col min="47" max="47" width="14.109375" bestFit="1" customWidth="1"/>
    <col min="48" max="48" width="11.33203125" bestFit="1" customWidth="1"/>
    <col min="49" max="50" width="11" bestFit="1" customWidth="1"/>
    <col min="51" max="51" width="18.88671875" bestFit="1" customWidth="1"/>
    <col min="52" max="52" width="12" bestFit="1" customWidth="1"/>
    <col min="53" max="53" width="11" bestFit="1" customWidth="1"/>
    <col min="54" max="54" width="22.33203125" bestFit="1" customWidth="1"/>
    <col min="55" max="55" width="13.44140625" bestFit="1" customWidth="1"/>
    <col min="56" max="56" width="8" bestFit="1" customWidth="1"/>
    <col min="57" max="57" width="7.33203125" bestFit="1" customWidth="1"/>
    <col min="58" max="58" width="12" bestFit="1" customWidth="1"/>
  </cols>
  <sheetData>
    <row r="1" spans="1:6" x14ac:dyDescent="0.3">
      <c r="A1" s="1" t="s">
        <v>0</v>
      </c>
      <c r="B1" t="s">
        <v>30</v>
      </c>
    </row>
    <row r="3" spans="1:6" x14ac:dyDescent="0.3">
      <c r="A3" s="1" t="s">
        <v>298</v>
      </c>
      <c r="B3" s="1" t="s">
        <v>297</v>
      </c>
    </row>
    <row r="4" spans="1:6" x14ac:dyDescent="0.3">
      <c r="A4" s="1" t="s">
        <v>295</v>
      </c>
      <c r="B4" t="s">
        <v>84</v>
      </c>
      <c r="C4" t="s">
        <v>65</v>
      </c>
      <c r="D4" t="s">
        <v>75</v>
      </c>
      <c r="E4" t="s">
        <v>59</v>
      </c>
      <c r="F4" t="s">
        <v>296</v>
      </c>
    </row>
    <row r="5" spans="1:6" x14ac:dyDescent="0.3">
      <c r="A5" s="2">
        <v>2021</v>
      </c>
      <c r="B5" s="13">
        <v>950000000</v>
      </c>
      <c r="C5" s="13">
        <v>276000000</v>
      </c>
      <c r="D5" s="13"/>
      <c r="E5" s="13">
        <v>502000000</v>
      </c>
      <c r="F5" s="13">
        <v>1728000000</v>
      </c>
    </row>
    <row r="6" spans="1:6" x14ac:dyDescent="0.3">
      <c r="A6" s="2">
        <v>2022</v>
      </c>
      <c r="B6" s="13">
        <v>1070000000</v>
      </c>
      <c r="C6" s="13"/>
      <c r="D6" s="13">
        <v>238000000</v>
      </c>
      <c r="E6" s="13">
        <v>578000000</v>
      </c>
      <c r="F6" s="13">
        <v>1886000000</v>
      </c>
    </row>
    <row r="7" spans="1:6" x14ac:dyDescent="0.3">
      <c r="A7" s="2">
        <v>2023</v>
      </c>
      <c r="B7" s="13">
        <v>846000000</v>
      </c>
      <c r="C7" s="13"/>
      <c r="D7" s="13">
        <v>401000000</v>
      </c>
      <c r="E7" s="13">
        <v>654000000</v>
      </c>
      <c r="F7" s="13">
        <v>1901000000</v>
      </c>
    </row>
    <row r="8" spans="1:6" x14ac:dyDescent="0.3">
      <c r="A8" s="2" t="s">
        <v>296</v>
      </c>
      <c r="B8" s="13">
        <v>2866000000</v>
      </c>
      <c r="C8" s="13">
        <v>276000000</v>
      </c>
      <c r="D8" s="13">
        <v>639000000</v>
      </c>
      <c r="E8" s="13">
        <v>1734000000</v>
      </c>
      <c r="F8" s="13">
        <v>5515000000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9B44-6D4A-420F-89B1-846852B18BB3}">
  <dimension ref="A1:F8"/>
  <sheetViews>
    <sheetView showGridLines="0" topLeftCell="B8" workbookViewId="0">
      <selection activeCell="L19" sqref="L19"/>
    </sheetView>
  </sheetViews>
  <sheetFormatPr defaultRowHeight="14.4" x14ac:dyDescent="0.3"/>
  <cols>
    <col min="1" max="1" width="17.33203125" bestFit="1" customWidth="1"/>
    <col min="2" max="2" width="15.5546875" bestFit="1" customWidth="1"/>
    <col min="3" max="3" width="10" bestFit="1" customWidth="1"/>
    <col min="4" max="4" width="10.77734375" bestFit="1" customWidth="1"/>
    <col min="5" max="5" width="10" bestFit="1" customWidth="1"/>
    <col min="6" max="6" width="10.77734375" bestFit="1" customWidth="1"/>
    <col min="7" max="7" width="11" bestFit="1" customWidth="1"/>
    <col min="8" max="8" width="9" bestFit="1" customWidth="1"/>
    <col min="9" max="9" width="19.5546875" bestFit="1" customWidth="1"/>
    <col min="10" max="10" width="13.44140625" bestFit="1" customWidth="1"/>
    <col min="11" max="11" width="18.44140625" bestFit="1" customWidth="1"/>
    <col min="12" max="12" width="28.5546875" bestFit="1" customWidth="1"/>
    <col min="13" max="13" width="19.88671875" bestFit="1" customWidth="1"/>
    <col min="14" max="14" width="10" bestFit="1" customWidth="1"/>
    <col min="15" max="15" width="55.6640625" bestFit="1" customWidth="1"/>
    <col min="16" max="16" width="9.88671875" bestFit="1" customWidth="1"/>
    <col min="17" max="17" width="11" bestFit="1" customWidth="1"/>
    <col min="18" max="18" width="24.6640625" bestFit="1" customWidth="1"/>
    <col min="19" max="19" width="12" bestFit="1" customWidth="1"/>
    <col min="20" max="20" width="12.33203125" bestFit="1" customWidth="1"/>
    <col min="21" max="21" width="11.5546875" bestFit="1" customWidth="1"/>
    <col min="22" max="22" width="12" bestFit="1" customWidth="1"/>
    <col min="23" max="23" width="23.5546875" bestFit="1" customWidth="1"/>
    <col min="24" max="24" width="12" bestFit="1" customWidth="1"/>
    <col min="25" max="25" width="11" bestFit="1" customWidth="1"/>
    <col min="26" max="26" width="31.33203125" bestFit="1" customWidth="1"/>
    <col min="27" max="27" width="32.109375" bestFit="1" customWidth="1"/>
    <col min="28" max="28" width="32.6640625" bestFit="1" customWidth="1"/>
    <col min="29" max="31" width="11" bestFit="1" customWidth="1"/>
    <col min="32" max="32" width="24.33203125" bestFit="1" customWidth="1"/>
    <col min="33" max="33" width="11.33203125" bestFit="1" customWidth="1"/>
    <col min="34" max="34" width="26.88671875" bestFit="1" customWidth="1"/>
    <col min="35" max="35" width="11.5546875" bestFit="1" customWidth="1"/>
    <col min="36" max="36" width="14.33203125" bestFit="1" customWidth="1"/>
    <col min="37" max="37" width="18" bestFit="1" customWidth="1"/>
    <col min="38" max="38" width="11" bestFit="1" customWidth="1"/>
    <col min="39" max="39" width="9" bestFit="1" customWidth="1"/>
    <col min="40" max="40" width="10.44140625" bestFit="1" customWidth="1"/>
    <col min="41" max="41" width="9" bestFit="1" customWidth="1"/>
    <col min="42" max="42" width="14.88671875" bestFit="1" customWidth="1"/>
    <col min="43" max="43" width="22.88671875" bestFit="1" customWidth="1"/>
    <col min="44" max="44" width="12" bestFit="1" customWidth="1"/>
    <col min="45" max="45" width="12.44140625" bestFit="1" customWidth="1"/>
    <col min="46" max="46" width="19.33203125" bestFit="1" customWidth="1"/>
    <col min="47" max="47" width="10" bestFit="1" customWidth="1"/>
    <col min="48" max="48" width="11.5546875" bestFit="1" customWidth="1"/>
    <col min="49" max="49" width="24.6640625" bestFit="1" customWidth="1"/>
    <col min="50" max="50" width="55.109375" bestFit="1" customWidth="1"/>
    <col min="51" max="51" width="12.44140625" bestFit="1" customWidth="1"/>
    <col min="52" max="52" width="64.44140625" bestFit="1" customWidth="1"/>
    <col min="53" max="53" width="11" bestFit="1" customWidth="1"/>
    <col min="54" max="54" width="11.5546875" bestFit="1" customWidth="1"/>
    <col min="55" max="55" width="37" bestFit="1" customWidth="1"/>
    <col min="56" max="56" width="31" bestFit="1" customWidth="1"/>
    <col min="57" max="57" width="8" bestFit="1" customWidth="1"/>
    <col min="58" max="58" width="9" bestFit="1" customWidth="1"/>
    <col min="59" max="59" width="27.5546875" bestFit="1" customWidth="1"/>
    <col min="60" max="60" width="17" bestFit="1" customWidth="1"/>
    <col min="61" max="61" width="11" bestFit="1" customWidth="1"/>
    <col min="62" max="62" width="8" bestFit="1" customWidth="1"/>
    <col min="63" max="63" width="44.44140625" bestFit="1" customWidth="1"/>
    <col min="64" max="64" width="13.88671875" bestFit="1" customWidth="1"/>
    <col min="65" max="65" width="11.5546875" bestFit="1" customWidth="1"/>
    <col min="66" max="66" width="32.109375" bestFit="1" customWidth="1"/>
    <col min="67" max="67" width="15.5546875" bestFit="1" customWidth="1"/>
    <col min="68" max="68" width="17.88671875" bestFit="1" customWidth="1"/>
    <col min="69" max="69" width="27.6640625" bestFit="1" customWidth="1"/>
    <col min="70" max="70" width="11" bestFit="1" customWidth="1"/>
    <col min="71" max="71" width="8.88671875" bestFit="1" customWidth="1"/>
    <col min="72" max="72" width="24.5546875" bestFit="1" customWidth="1"/>
    <col min="73" max="73" width="21.44140625" bestFit="1" customWidth="1"/>
    <col min="74" max="74" width="14.109375" bestFit="1" customWidth="1"/>
    <col min="75" max="75" width="13.33203125" bestFit="1" customWidth="1"/>
    <col min="76" max="76" width="10" bestFit="1" customWidth="1"/>
    <col min="77" max="77" width="33.109375" bestFit="1" customWidth="1"/>
    <col min="78" max="78" width="12.5546875" bestFit="1" customWidth="1"/>
    <col min="79" max="79" width="15.109375" bestFit="1" customWidth="1"/>
    <col min="80" max="80" width="20.33203125" bestFit="1" customWidth="1"/>
    <col min="81" max="81" width="16" bestFit="1" customWidth="1"/>
    <col min="82" max="82" width="16.88671875" bestFit="1" customWidth="1"/>
    <col min="83" max="83" width="16.33203125" bestFit="1" customWidth="1"/>
    <col min="84" max="84" width="10.88671875" bestFit="1" customWidth="1"/>
    <col min="85" max="85" width="13.6640625" bestFit="1" customWidth="1"/>
    <col min="86" max="86" width="11" bestFit="1" customWidth="1"/>
    <col min="87" max="87" width="21.44140625" bestFit="1" customWidth="1"/>
    <col min="88" max="88" width="18.88671875" bestFit="1" customWidth="1"/>
    <col min="89" max="89" width="24.33203125" bestFit="1" customWidth="1"/>
    <col min="90" max="90" width="33.88671875" bestFit="1" customWidth="1"/>
    <col min="91" max="92" width="11" bestFit="1" customWidth="1"/>
    <col min="93" max="93" width="13.5546875" bestFit="1" customWidth="1"/>
    <col min="94" max="94" width="23.6640625" bestFit="1" customWidth="1"/>
    <col min="95" max="95" width="11.44140625" bestFit="1" customWidth="1"/>
    <col min="96" max="96" width="35.5546875" bestFit="1" customWidth="1"/>
    <col min="97" max="97" width="9" bestFit="1" customWidth="1"/>
    <col min="98" max="98" width="13.33203125" bestFit="1" customWidth="1"/>
    <col min="99" max="99" width="9" bestFit="1" customWidth="1"/>
    <col min="100" max="100" width="12.5546875" bestFit="1" customWidth="1"/>
    <col min="101" max="101" width="11" bestFit="1" customWidth="1"/>
    <col min="102" max="102" width="7.33203125" bestFit="1" customWidth="1"/>
    <col min="103" max="103" width="12" bestFit="1" customWidth="1"/>
  </cols>
  <sheetData>
    <row r="1" spans="1:6" x14ac:dyDescent="0.3">
      <c r="A1" s="1" t="s">
        <v>0</v>
      </c>
      <c r="B1" t="s">
        <v>58</v>
      </c>
    </row>
    <row r="3" spans="1:6" x14ac:dyDescent="0.3">
      <c r="A3" s="1" t="s">
        <v>1079</v>
      </c>
      <c r="B3" s="1" t="s">
        <v>297</v>
      </c>
    </row>
    <row r="4" spans="1:6" x14ac:dyDescent="0.3">
      <c r="A4" s="1" t="s">
        <v>295</v>
      </c>
      <c r="B4" t="s">
        <v>218</v>
      </c>
      <c r="C4" t="s">
        <v>190</v>
      </c>
      <c r="D4" t="s">
        <v>268</v>
      </c>
      <c r="E4" t="s">
        <v>75</v>
      </c>
      <c r="F4" t="s">
        <v>296</v>
      </c>
    </row>
    <row r="5" spans="1:6" x14ac:dyDescent="0.3">
      <c r="A5" s="2">
        <v>2021</v>
      </c>
      <c r="B5">
        <v>45600000</v>
      </c>
      <c r="C5">
        <v>50800000</v>
      </c>
      <c r="E5">
        <v>36200000</v>
      </c>
      <c r="F5">
        <v>132600000</v>
      </c>
    </row>
    <row r="6" spans="1:6" x14ac:dyDescent="0.3">
      <c r="A6" s="2">
        <v>2022</v>
      </c>
      <c r="B6">
        <v>44600000</v>
      </c>
      <c r="C6">
        <v>115000000</v>
      </c>
      <c r="E6">
        <v>40300000</v>
      </c>
      <c r="F6">
        <v>199900000</v>
      </c>
    </row>
    <row r="7" spans="1:6" x14ac:dyDescent="0.3">
      <c r="A7" s="2">
        <v>2023</v>
      </c>
      <c r="B7">
        <v>45800000</v>
      </c>
      <c r="D7">
        <v>30700000</v>
      </c>
      <c r="E7">
        <v>87300000</v>
      </c>
      <c r="F7">
        <v>163800000</v>
      </c>
    </row>
    <row r="8" spans="1:6" x14ac:dyDescent="0.3">
      <c r="A8" s="2" t="s">
        <v>296</v>
      </c>
      <c r="B8">
        <v>136000000</v>
      </c>
      <c r="C8">
        <v>165800000</v>
      </c>
      <c r="D8">
        <v>30700000</v>
      </c>
      <c r="E8">
        <v>163800000</v>
      </c>
      <c r="F8">
        <v>496300000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26896-4F8B-4F86-8C33-416479252A66}">
  <dimension ref="A1:N163"/>
  <sheetViews>
    <sheetView topLeftCell="A165" workbookViewId="0">
      <selection sqref="A1:N4"/>
    </sheetView>
  </sheetViews>
  <sheetFormatPr defaultRowHeight="14.4" x14ac:dyDescent="0.3"/>
  <cols>
    <col min="1" max="1" width="31.5546875" bestFit="1" customWidth="1"/>
    <col min="2" max="2" width="8.6640625" customWidth="1"/>
    <col min="3" max="3" width="30.88671875" bestFit="1" customWidth="1"/>
    <col min="4" max="4" width="22.5546875" style="6" bestFit="1" customWidth="1"/>
    <col min="5" max="5" width="25.6640625" style="8" customWidth="1"/>
    <col min="6" max="6" width="30.88671875" bestFit="1" customWidth="1"/>
    <col min="7" max="7" width="24.109375" customWidth="1"/>
    <col min="8" max="8" width="43.44140625" hidden="1" customWidth="1"/>
    <col min="9" max="9" width="43.44140625" style="7" customWidth="1"/>
    <col min="10" max="10" width="33.5546875" bestFit="1" customWidth="1"/>
    <col min="11" max="11" width="25" customWidth="1"/>
    <col min="12" max="12" width="44.44140625" hidden="1" customWidth="1"/>
    <col min="13" max="13" width="44.44140625" style="7" customWidth="1"/>
    <col min="14" max="14" width="24.88671875" bestFit="1" customWidth="1"/>
  </cols>
  <sheetData>
    <row r="1" spans="1:14" x14ac:dyDescent="0.3">
      <c r="A1" s="4" t="s">
        <v>300</v>
      </c>
      <c r="B1" s="4" t="s">
        <v>1</v>
      </c>
      <c r="C1" s="4" t="s">
        <v>301</v>
      </c>
      <c r="D1" s="5" t="s">
        <v>302</v>
      </c>
      <c r="E1" s="5" t="s">
        <v>303</v>
      </c>
      <c r="F1" s="4" t="s">
        <v>304</v>
      </c>
      <c r="G1" s="4" t="s">
        <v>305</v>
      </c>
      <c r="H1" s="4" t="s">
        <v>306</v>
      </c>
      <c r="I1" s="5" t="s">
        <v>307</v>
      </c>
      <c r="J1" s="4" t="s">
        <v>308</v>
      </c>
      <c r="K1" s="4" t="s">
        <v>309</v>
      </c>
      <c r="L1" s="4" t="s">
        <v>310</v>
      </c>
      <c r="M1" s="5" t="s">
        <v>311</v>
      </c>
      <c r="N1" s="4" t="s">
        <v>312</v>
      </c>
    </row>
    <row r="2" spans="1:14" x14ac:dyDescent="0.3">
      <c r="A2" t="s">
        <v>4</v>
      </c>
      <c r="B2">
        <v>2021</v>
      </c>
      <c r="C2" t="s">
        <v>59</v>
      </c>
      <c r="D2" s="6" t="s">
        <v>313</v>
      </c>
      <c r="E2" s="7">
        <f t="shared" ref="E2:E65" si="0">IF(RIGHT(D2,1)="M",VALUE(LEFT(D2,LEN(D2)-1))*1000000,IF(RIGHT(D2,1)="B",VALUE(LEFT(D2,LEN(D2)-1))*1000000000,IF(RIGHT(D2,1)="K",VALUE(LEFT(D2,LEN(D2)-1))*1000,D2)))</f>
        <v>2200000000</v>
      </c>
      <c r="F2" t="s">
        <v>119</v>
      </c>
      <c r="G2" t="s">
        <v>60</v>
      </c>
      <c r="H2" t="s">
        <v>314</v>
      </c>
      <c r="I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1160000000</v>
      </c>
      <c r="J2" t="s">
        <v>120</v>
      </c>
      <c r="K2" t="s">
        <v>61</v>
      </c>
      <c r="L2" t="s">
        <v>315</v>
      </c>
      <c r="M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827000000</v>
      </c>
      <c r="N2" t="s">
        <v>121</v>
      </c>
    </row>
    <row r="3" spans="1:14" x14ac:dyDescent="0.3">
      <c r="A3" t="s">
        <v>4</v>
      </c>
      <c r="B3">
        <v>2022</v>
      </c>
      <c r="C3" t="s">
        <v>59</v>
      </c>
      <c r="D3" s="6" t="s">
        <v>316</v>
      </c>
      <c r="E3" s="7">
        <f t="shared" si="0"/>
        <v>2660000000</v>
      </c>
      <c r="F3" t="s">
        <v>119</v>
      </c>
      <c r="G3" t="s">
        <v>60</v>
      </c>
      <c r="H3" t="s">
        <v>317</v>
      </c>
      <c r="I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1620000000</v>
      </c>
      <c r="J3" t="s">
        <v>120</v>
      </c>
      <c r="K3" t="s">
        <v>62</v>
      </c>
      <c r="L3" t="s">
        <v>318</v>
      </c>
      <c r="M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988000000</v>
      </c>
      <c r="N3" t="s">
        <v>120</v>
      </c>
    </row>
    <row r="4" spans="1:14" x14ac:dyDescent="0.3">
      <c r="A4" t="s">
        <v>5</v>
      </c>
      <c r="B4">
        <v>2023</v>
      </c>
      <c r="C4" t="s">
        <v>59</v>
      </c>
      <c r="D4" s="6" t="s">
        <v>319</v>
      </c>
      <c r="E4" s="7">
        <f t="shared" si="0"/>
        <v>1830000000</v>
      </c>
      <c r="F4" t="s">
        <v>122</v>
      </c>
      <c r="G4" t="s">
        <v>60</v>
      </c>
      <c r="H4" t="s">
        <v>320</v>
      </c>
      <c r="I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1310000000</v>
      </c>
      <c r="J4" t="s">
        <v>123</v>
      </c>
      <c r="K4" t="s">
        <v>62</v>
      </c>
      <c r="L4" t="s">
        <v>321</v>
      </c>
      <c r="M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1070000000.0000001</v>
      </c>
      <c r="N4" t="s">
        <v>120</v>
      </c>
    </row>
    <row r="5" spans="1:14" x14ac:dyDescent="0.3">
      <c r="A5" t="s">
        <v>6</v>
      </c>
      <c r="B5">
        <v>2021</v>
      </c>
      <c r="C5" t="s">
        <v>63</v>
      </c>
      <c r="D5" s="6" t="s">
        <v>322</v>
      </c>
      <c r="E5" s="7">
        <f t="shared" si="0"/>
        <v>349000000</v>
      </c>
      <c r="F5" t="s">
        <v>124</v>
      </c>
      <c r="G5" t="s">
        <v>64</v>
      </c>
      <c r="H5" t="s">
        <v>323</v>
      </c>
      <c r="I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244000000</v>
      </c>
      <c r="J5" t="s">
        <v>125</v>
      </c>
      <c r="K5" t="s">
        <v>65</v>
      </c>
      <c r="L5" t="s">
        <v>324</v>
      </c>
      <c r="M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242000000</v>
      </c>
      <c r="N5" t="s">
        <v>126</v>
      </c>
    </row>
    <row r="6" spans="1:14" x14ac:dyDescent="0.3">
      <c r="A6" t="s">
        <v>6</v>
      </c>
      <c r="B6">
        <v>2022</v>
      </c>
      <c r="C6" t="s">
        <v>63</v>
      </c>
      <c r="D6" s="6" t="s">
        <v>325</v>
      </c>
      <c r="E6" s="7">
        <f t="shared" si="0"/>
        <v>594000000</v>
      </c>
      <c r="F6" t="s">
        <v>124</v>
      </c>
      <c r="G6" t="s">
        <v>64</v>
      </c>
      <c r="H6" t="s">
        <v>326</v>
      </c>
      <c r="I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414000000</v>
      </c>
      <c r="J6" t="s">
        <v>125</v>
      </c>
      <c r="K6" t="s">
        <v>65</v>
      </c>
      <c r="L6" t="s">
        <v>327</v>
      </c>
      <c r="M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362000000</v>
      </c>
      <c r="N6" t="s">
        <v>126</v>
      </c>
    </row>
    <row r="7" spans="1:14" x14ac:dyDescent="0.3">
      <c r="A7" t="s">
        <v>6</v>
      </c>
      <c r="B7">
        <v>2023</v>
      </c>
      <c r="C7" t="s">
        <v>59</v>
      </c>
      <c r="D7" s="6" t="s">
        <v>328</v>
      </c>
      <c r="E7" s="7">
        <f t="shared" si="0"/>
        <v>606000000</v>
      </c>
      <c r="F7" t="s">
        <v>119</v>
      </c>
      <c r="G7" t="s">
        <v>64</v>
      </c>
      <c r="H7" t="s">
        <v>329</v>
      </c>
      <c r="I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260000000</v>
      </c>
      <c r="J7" t="s">
        <v>126</v>
      </c>
      <c r="K7" t="s">
        <v>65</v>
      </c>
      <c r="L7" t="s">
        <v>330</v>
      </c>
      <c r="M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229000000</v>
      </c>
      <c r="N7" t="s">
        <v>125</v>
      </c>
    </row>
    <row r="8" spans="1:14" x14ac:dyDescent="0.3">
      <c r="A8" t="s">
        <v>7</v>
      </c>
      <c r="B8">
        <v>2021</v>
      </c>
      <c r="C8" t="s">
        <v>66</v>
      </c>
      <c r="D8" s="6" t="s">
        <v>331</v>
      </c>
      <c r="E8" s="7">
        <f t="shared" si="0"/>
        <v>264000000</v>
      </c>
      <c r="F8" t="s">
        <v>126</v>
      </c>
      <c r="G8" t="s">
        <v>67</v>
      </c>
      <c r="H8" t="s">
        <v>332</v>
      </c>
      <c r="I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155000000</v>
      </c>
      <c r="J8" t="s">
        <v>127</v>
      </c>
      <c r="K8" t="s">
        <v>68</v>
      </c>
      <c r="L8" t="s">
        <v>333</v>
      </c>
      <c r="M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39200000</v>
      </c>
      <c r="N8" t="s">
        <v>128</v>
      </c>
    </row>
    <row r="9" spans="1:14" x14ac:dyDescent="0.3">
      <c r="A9" t="s">
        <v>7</v>
      </c>
      <c r="B9">
        <v>2022</v>
      </c>
      <c r="C9" t="s">
        <v>69</v>
      </c>
      <c r="D9" s="6" t="s">
        <v>334</v>
      </c>
      <c r="E9" s="7">
        <f t="shared" si="0"/>
        <v>292000000</v>
      </c>
      <c r="F9" t="s">
        <v>129</v>
      </c>
      <c r="G9" t="s">
        <v>70</v>
      </c>
      <c r="H9" t="s">
        <v>335</v>
      </c>
      <c r="I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266000000</v>
      </c>
      <c r="J9" t="s">
        <v>126</v>
      </c>
      <c r="K9" t="s">
        <v>71</v>
      </c>
      <c r="L9" t="s">
        <v>336</v>
      </c>
      <c r="M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31500000</v>
      </c>
      <c r="N9" t="s">
        <v>126</v>
      </c>
    </row>
    <row r="10" spans="1:14" x14ac:dyDescent="0.3">
      <c r="A10" t="s">
        <v>7</v>
      </c>
      <c r="B10">
        <v>2023</v>
      </c>
      <c r="C10" t="s">
        <v>72</v>
      </c>
      <c r="D10" s="6" t="s">
        <v>337</v>
      </c>
      <c r="E10" s="7">
        <f t="shared" si="0"/>
        <v>142000000</v>
      </c>
      <c r="F10" t="s">
        <v>126</v>
      </c>
      <c r="G10" t="s">
        <v>73</v>
      </c>
      <c r="H10" t="s">
        <v>338</v>
      </c>
      <c r="I1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25500000</v>
      </c>
      <c r="J10" t="s">
        <v>130</v>
      </c>
      <c r="K10" t="s">
        <v>74</v>
      </c>
      <c r="L10" t="s">
        <v>339</v>
      </c>
      <c r="M1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1750000</v>
      </c>
      <c r="N10" t="s">
        <v>27</v>
      </c>
    </row>
    <row r="11" spans="1:14" x14ac:dyDescent="0.3">
      <c r="A11" t="s">
        <v>8</v>
      </c>
      <c r="B11">
        <v>2021</v>
      </c>
      <c r="C11" t="s">
        <v>62</v>
      </c>
      <c r="D11" s="6" t="s">
        <v>340</v>
      </c>
      <c r="E11" s="7">
        <f t="shared" si="0"/>
        <v>64900000.000000007</v>
      </c>
      <c r="F11" t="s">
        <v>50</v>
      </c>
      <c r="G11" t="s">
        <v>75</v>
      </c>
      <c r="H11" t="s">
        <v>341</v>
      </c>
      <c r="I1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60200000</v>
      </c>
      <c r="J11" t="s">
        <v>50</v>
      </c>
      <c r="K11" t="s">
        <v>76</v>
      </c>
      <c r="L11" t="s">
        <v>342</v>
      </c>
      <c r="M1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56100000</v>
      </c>
      <c r="N11" t="s">
        <v>131</v>
      </c>
    </row>
    <row r="12" spans="1:14" x14ac:dyDescent="0.3">
      <c r="A12" t="s">
        <v>8</v>
      </c>
      <c r="B12">
        <v>2022</v>
      </c>
      <c r="C12" t="s">
        <v>75</v>
      </c>
      <c r="D12" s="6" t="s">
        <v>343</v>
      </c>
      <c r="E12" s="7">
        <f t="shared" si="0"/>
        <v>145000000</v>
      </c>
      <c r="F12" t="s">
        <v>50</v>
      </c>
      <c r="G12" t="s">
        <v>62</v>
      </c>
      <c r="H12" t="s">
        <v>344</v>
      </c>
      <c r="I1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66200000</v>
      </c>
      <c r="J12" t="s">
        <v>50</v>
      </c>
      <c r="K12" t="s">
        <v>65</v>
      </c>
      <c r="L12" t="s">
        <v>345</v>
      </c>
      <c r="M1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40100000</v>
      </c>
      <c r="N12" t="s">
        <v>50</v>
      </c>
    </row>
    <row r="13" spans="1:14" x14ac:dyDescent="0.3">
      <c r="A13" t="s">
        <v>8</v>
      </c>
      <c r="B13">
        <v>2023</v>
      </c>
      <c r="C13" t="s">
        <v>77</v>
      </c>
      <c r="D13" s="6" t="s">
        <v>346</v>
      </c>
      <c r="E13" s="7">
        <f t="shared" si="0"/>
        <v>158000000</v>
      </c>
      <c r="F13" t="s">
        <v>50</v>
      </c>
      <c r="G13" t="s">
        <v>75</v>
      </c>
      <c r="H13" t="s">
        <v>347</v>
      </c>
      <c r="I1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63200000</v>
      </c>
      <c r="J13" t="s">
        <v>50</v>
      </c>
      <c r="K13" t="s">
        <v>62</v>
      </c>
      <c r="L13" t="s">
        <v>348</v>
      </c>
      <c r="M1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53600000</v>
      </c>
      <c r="N13" t="s">
        <v>50</v>
      </c>
    </row>
    <row r="14" spans="1:14" x14ac:dyDescent="0.3">
      <c r="A14" t="s">
        <v>9</v>
      </c>
      <c r="B14">
        <v>2021</v>
      </c>
      <c r="C14" t="s">
        <v>65</v>
      </c>
      <c r="D14" s="6" t="s">
        <v>349</v>
      </c>
      <c r="E14" s="7">
        <f t="shared" si="0"/>
        <v>90800000</v>
      </c>
      <c r="F14" t="s">
        <v>126</v>
      </c>
      <c r="G14" t="s">
        <v>78</v>
      </c>
      <c r="H14" t="s">
        <v>350</v>
      </c>
      <c r="I1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69000000</v>
      </c>
      <c r="J14" t="s">
        <v>132</v>
      </c>
      <c r="K14" t="s">
        <v>59</v>
      </c>
      <c r="L14" t="s">
        <v>351</v>
      </c>
      <c r="M1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60800000</v>
      </c>
      <c r="N14" t="s">
        <v>119</v>
      </c>
    </row>
    <row r="15" spans="1:14" x14ac:dyDescent="0.3">
      <c r="A15" t="s">
        <v>9</v>
      </c>
      <c r="B15">
        <v>2022</v>
      </c>
      <c r="C15" t="s">
        <v>65</v>
      </c>
      <c r="D15" s="6" t="s">
        <v>352</v>
      </c>
      <c r="E15" s="7">
        <f t="shared" si="0"/>
        <v>151000000</v>
      </c>
      <c r="F15" t="s">
        <v>126</v>
      </c>
      <c r="G15" t="s">
        <v>59</v>
      </c>
      <c r="H15" t="s">
        <v>353</v>
      </c>
      <c r="I1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87900000</v>
      </c>
      <c r="J15" t="s">
        <v>119</v>
      </c>
      <c r="K15" t="s">
        <v>75</v>
      </c>
      <c r="L15" t="s">
        <v>354</v>
      </c>
      <c r="M1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42200000</v>
      </c>
      <c r="N15" t="s">
        <v>131</v>
      </c>
    </row>
    <row r="16" spans="1:14" x14ac:dyDescent="0.3">
      <c r="A16" t="s">
        <v>9</v>
      </c>
      <c r="B16">
        <v>2023</v>
      </c>
      <c r="C16" t="s">
        <v>68</v>
      </c>
      <c r="D16" s="6" t="s">
        <v>355</v>
      </c>
      <c r="E16" s="7">
        <f t="shared" si="0"/>
        <v>184000000</v>
      </c>
      <c r="F16" t="s">
        <v>133</v>
      </c>
      <c r="G16" t="s">
        <v>70</v>
      </c>
      <c r="H16" t="s">
        <v>356</v>
      </c>
      <c r="I1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154000000</v>
      </c>
      <c r="J16" t="s">
        <v>126</v>
      </c>
      <c r="K16" t="s">
        <v>67</v>
      </c>
      <c r="L16" t="s">
        <v>357</v>
      </c>
      <c r="M1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80000000</v>
      </c>
      <c r="N16" t="s">
        <v>53</v>
      </c>
    </row>
    <row r="17" spans="1:14" x14ac:dyDescent="0.3">
      <c r="A17" t="s">
        <v>10</v>
      </c>
      <c r="B17">
        <v>2021</v>
      </c>
      <c r="C17" t="s">
        <v>59</v>
      </c>
      <c r="D17" s="6" t="s">
        <v>358</v>
      </c>
      <c r="E17" s="7">
        <f t="shared" si="0"/>
        <v>23700000</v>
      </c>
      <c r="F17" t="s">
        <v>134</v>
      </c>
      <c r="G17" t="s">
        <v>75</v>
      </c>
      <c r="H17" t="s">
        <v>359</v>
      </c>
      <c r="I1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20500000</v>
      </c>
      <c r="J17" t="s">
        <v>35</v>
      </c>
      <c r="K17" t="s">
        <v>65</v>
      </c>
      <c r="L17" t="s">
        <v>360</v>
      </c>
      <c r="M1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12600000</v>
      </c>
      <c r="N17" t="s">
        <v>135</v>
      </c>
    </row>
    <row r="18" spans="1:14" x14ac:dyDescent="0.3">
      <c r="A18" t="s">
        <v>10</v>
      </c>
      <c r="B18">
        <v>2022</v>
      </c>
      <c r="C18" t="s">
        <v>59</v>
      </c>
      <c r="D18" s="6" t="s">
        <v>361</v>
      </c>
      <c r="E18" s="7">
        <f t="shared" si="0"/>
        <v>26300000</v>
      </c>
      <c r="F18" t="s">
        <v>120</v>
      </c>
      <c r="G18" t="s">
        <v>65</v>
      </c>
      <c r="H18" t="s">
        <v>362</v>
      </c>
      <c r="I1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17400000</v>
      </c>
      <c r="J18" t="s">
        <v>135</v>
      </c>
      <c r="K18" t="s">
        <v>79</v>
      </c>
      <c r="L18" t="s">
        <v>363</v>
      </c>
      <c r="M1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10700000</v>
      </c>
      <c r="N18" t="s">
        <v>136</v>
      </c>
    </row>
    <row r="19" spans="1:14" x14ac:dyDescent="0.3">
      <c r="A19" t="s">
        <v>10</v>
      </c>
      <c r="B19">
        <v>2023</v>
      </c>
      <c r="C19" t="s">
        <v>80</v>
      </c>
      <c r="D19" s="6" t="s">
        <v>364</v>
      </c>
      <c r="E19" s="7">
        <f t="shared" si="0"/>
        <v>8189999.9999999991</v>
      </c>
      <c r="F19" t="s">
        <v>134</v>
      </c>
      <c r="G19" t="s">
        <v>62</v>
      </c>
      <c r="H19" t="s">
        <v>365</v>
      </c>
      <c r="I1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7730000</v>
      </c>
      <c r="J19" t="s">
        <v>57</v>
      </c>
      <c r="K19" t="s">
        <v>75</v>
      </c>
      <c r="L19" t="s">
        <v>366</v>
      </c>
      <c r="M1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6820000</v>
      </c>
      <c r="N19" t="s">
        <v>57</v>
      </c>
    </row>
    <row r="20" spans="1:14" x14ac:dyDescent="0.3">
      <c r="A20" t="s">
        <v>11</v>
      </c>
      <c r="B20">
        <v>2021</v>
      </c>
      <c r="C20" t="s">
        <v>65</v>
      </c>
      <c r="D20" s="6" t="s">
        <v>367</v>
      </c>
      <c r="E20" s="7">
        <f t="shared" si="0"/>
        <v>22100000</v>
      </c>
      <c r="F20" t="s">
        <v>131</v>
      </c>
      <c r="G20" t="s">
        <v>64</v>
      </c>
      <c r="H20" t="s">
        <v>368</v>
      </c>
      <c r="I2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15200000</v>
      </c>
      <c r="J20" t="s">
        <v>137</v>
      </c>
      <c r="K20" t="s">
        <v>60</v>
      </c>
      <c r="L20" t="s">
        <v>369</v>
      </c>
      <c r="M2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14800000</v>
      </c>
      <c r="N20" t="s">
        <v>136</v>
      </c>
    </row>
    <row r="21" spans="1:14" x14ac:dyDescent="0.3">
      <c r="A21" t="s">
        <v>11</v>
      </c>
      <c r="B21">
        <v>2022</v>
      </c>
      <c r="C21" t="s">
        <v>65</v>
      </c>
      <c r="D21" s="6" t="s">
        <v>370</v>
      </c>
      <c r="E21" s="7">
        <f t="shared" si="0"/>
        <v>30300000</v>
      </c>
      <c r="F21" t="s">
        <v>131</v>
      </c>
      <c r="G21" t="s">
        <v>78</v>
      </c>
      <c r="H21" t="s">
        <v>371</v>
      </c>
      <c r="I2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20200000</v>
      </c>
      <c r="J21" t="s">
        <v>131</v>
      </c>
      <c r="K21" t="s">
        <v>64</v>
      </c>
      <c r="L21" t="s">
        <v>372</v>
      </c>
      <c r="M2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19900000</v>
      </c>
      <c r="N21" t="s">
        <v>138</v>
      </c>
    </row>
    <row r="22" spans="1:14" x14ac:dyDescent="0.3">
      <c r="A22" t="s">
        <v>11</v>
      </c>
      <c r="B22">
        <v>2023</v>
      </c>
      <c r="C22" t="s">
        <v>65</v>
      </c>
      <c r="D22" s="6" t="s">
        <v>373</v>
      </c>
      <c r="E22" s="7">
        <f t="shared" si="0"/>
        <v>26600000</v>
      </c>
      <c r="F22" t="s">
        <v>139</v>
      </c>
      <c r="G22" t="s">
        <v>64</v>
      </c>
      <c r="H22" t="s">
        <v>374</v>
      </c>
      <c r="I2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18100000</v>
      </c>
      <c r="J22" t="s">
        <v>137</v>
      </c>
      <c r="K22" t="s">
        <v>62</v>
      </c>
      <c r="L22" t="s">
        <v>375</v>
      </c>
      <c r="M2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13900000</v>
      </c>
      <c r="N22" t="s">
        <v>120</v>
      </c>
    </row>
    <row r="23" spans="1:14" x14ac:dyDescent="0.3">
      <c r="A23" t="s">
        <v>12</v>
      </c>
      <c r="B23">
        <v>2021</v>
      </c>
      <c r="C23" t="s">
        <v>65</v>
      </c>
      <c r="D23" s="6" t="s">
        <v>327</v>
      </c>
      <c r="E23" s="7">
        <f t="shared" si="0"/>
        <v>362000000</v>
      </c>
      <c r="F23" t="s">
        <v>126</v>
      </c>
      <c r="G23" t="s">
        <v>59</v>
      </c>
      <c r="H23" t="s">
        <v>376</v>
      </c>
      <c r="I2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299000000</v>
      </c>
      <c r="J23" t="s">
        <v>121</v>
      </c>
      <c r="K23" t="s">
        <v>78</v>
      </c>
      <c r="L23" t="s">
        <v>377</v>
      </c>
      <c r="M2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250000000</v>
      </c>
      <c r="N23" t="s">
        <v>37</v>
      </c>
    </row>
    <row r="24" spans="1:14" x14ac:dyDescent="0.3">
      <c r="A24" t="s">
        <v>12</v>
      </c>
      <c r="B24">
        <v>2022</v>
      </c>
      <c r="C24" t="s">
        <v>59</v>
      </c>
      <c r="D24" s="6" t="s">
        <v>378</v>
      </c>
      <c r="E24" s="7">
        <f t="shared" si="0"/>
        <v>316000000</v>
      </c>
      <c r="F24" t="s">
        <v>126</v>
      </c>
      <c r="G24" t="s">
        <v>65</v>
      </c>
      <c r="H24" t="s">
        <v>379</v>
      </c>
      <c r="I2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304000000</v>
      </c>
      <c r="J24" t="s">
        <v>121</v>
      </c>
      <c r="K24" t="s">
        <v>78</v>
      </c>
      <c r="L24" t="s">
        <v>380</v>
      </c>
      <c r="M2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189000000</v>
      </c>
      <c r="N24" t="s">
        <v>37</v>
      </c>
    </row>
    <row r="25" spans="1:14" x14ac:dyDescent="0.3">
      <c r="A25" t="s">
        <v>12</v>
      </c>
      <c r="B25">
        <v>2023</v>
      </c>
      <c r="C25" t="s">
        <v>59</v>
      </c>
      <c r="D25" s="6" t="s">
        <v>381</v>
      </c>
      <c r="E25" s="7">
        <f t="shared" si="0"/>
        <v>232000000</v>
      </c>
      <c r="F25" t="s">
        <v>140</v>
      </c>
      <c r="G25" t="s">
        <v>65</v>
      </c>
      <c r="H25" t="s">
        <v>330</v>
      </c>
      <c r="I2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229000000</v>
      </c>
      <c r="J25" t="s">
        <v>141</v>
      </c>
      <c r="K25" t="s">
        <v>78</v>
      </c>
      <c r="L25" t="s">
        <v>382</v>
      </c>
      <c r="M2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175000000</v>
      </c>
      <c r="N25" t="s">
        <v>138</v>
      </c>
    </row>
    <row r="26" spans="1:14" x14ac:dyDescent="0.3">
      <c r="A26" t="s">
        <v>13</v>
      </c>
      <c r="B26">
        <v>2021</v>
      </c>
      <c r="C26" t="s">
        <v>81</v>
      </c>
      <c r="D26" s="6" t="s">
        <v>383</v>
      </c>
      <c r="E26" s="7">
        <f t="shared" si="0"/>
        <v>11600000</v>
      </c>
      <c r="F26" t="s">
        <v>12</v>
      </c>
      <c r="G26" t="s">
        <v>65</v>
      </c>
      <c r="H26" t="s">
        <v>384</v>
      </c>
      <c r="I2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10900000</v>
      </c>
      <c r="J26" t="s">
        <v>12</v>
      </c>
      <c r="K26" t="s">
        <v>75</v>
      </c>
      <c r="L26" t="s">
        <v>385</v>
      </c>
      <c r="M2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9560000</v>
      </c>
      <c r="N26" t="s">
        <v>16</v>
      </c>
    </row>
    <row r="27" spans="1:14" x14ac:dyDescent="0.3">
      <c r="A27" t="s">
        <v>13</v>
      </c>
      <c r="B27">
        <v>2022</v>
      </c>
      <c r="C27" t="s">
        <v>64</v>
      </c>
      <c r="D27" s="6" t="s">
        <v>362</v>
      </c>
      <c r="E27" s="7">
        <f t="shared" si="0"/>
        <v>17400000</v>
      </c>
      <c r="F27" t="s">
        <v>137</v>
      </c>
      <c r="G27" t="s">
        <v>65</v>
      </c>
      <c r="H27" t="s">
        <v>386</v>
      </c>
      <c r="I2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10300000</v>
      </c>
      <c r="J27" t="s">
        <v>125</v>
      </c>
      <c r="K27" t="s">
        <v>82</v>
      </c>
      <c r="L27" t="s">
        <v>387</v>
      </c>
      <c r="M2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9700000</v>
      </c>
      <c r="N27" t="s">
        <v>12</v>
      </c>
    </row>
    <row r="28" spans="1:14" x14ac:dyDescent="0.3">
      <c r="A28" t="s">
        <v>13</v>
      </c>
      <c r="B28">
        <v>2023</v>
      </c>
      <c r="C28" t="s">
        <v>65</v>
      </c>
      <c r="D28" s="6" t="s">
        <v>388</v>
      </c>
      <c r="E28" s="7">
        <f t="shared" si="0"/>
        <v>16900000</v>
      </c>
      <c r="F28" t="s">
        <v>125</v>
      </c>
      <c r="G28" t="s">
        <v>64</v>
      </c>
      <c r="H28" t="s">
        <v>389</v>
      </c>
      <c r="I2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16700000</v>
      </c>
      <c r="J28" t="s">
        <v>131</v>
      </c>
      <c r="K28" t="s">
        <v>82</v>
      </c>
      <c r="L28" t="s">
        <v>390</v>
      </c>
      <c r="M2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9970000</v>
      </c>
      <c r="N28" t="s">
        <v>119</v>
      </c>
    </row>
    <row r="29" spans="1:14" x14ac:dyDescent="0.3">
      <c r="A29" t="s">
        <v>14</v>
      </c>
      <c r="B29">
        <v>2021</v>
      </c>
      <c r="C29" t="s">
        <v>65</v>
      </c>
      <c r="D29" s="6" t="s">
        <v>391</v>
      </c>
      <c r="E29" s="7">
        <f t="shared" si="0"/>
        <v>19100000</v>
      </c>
      <c r="F29" t="s">
        <v>12</v>
      </c>
      <c r="G29" t="s">
        <v>80</v>
      </c>
      <c r="H29" t="s">
        <v>392</v>
      </c>
      <c r="I2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14200000</v>
      </c>
      <c r="J29" t="s">
        <v>142</v>
      </c>
      <c r="K29" t="s">
        <v>60</v>
      </c>
      <c r="L29" t="s">
        <v>360</v>
      </c>
      <c r="M2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12600000</v>
      </c>
      <c r="N29" t="s">
        <v>130</v>
      </c>
    </row>
    <row r="30" spans="1:14" x14ac:dyDescent="0.3">
      <c r="A30" t="s">
        <v>14</v>
      </c>
      <c r="B30">
        <v>2022</v>
      </c>
      <c r="C30" t="s">
        <v>80</v>
      </c>
      <c r="D30" s="6" t="s">
        <v>393</v>
      </c>
      <c r="E30" s="7">
        <f t="shared" si="0"/>
        <v>24900000</v>
      </c>
      <c r="F30" t="s">
        <v>143</v>
      </c>
      <c r="G30" t="s">
        <v>60</v>
      </c>
      <c r="H30" t="s">
        <v>394</v>
      </c>
      <c r="I3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13400000</v>
      </c>
      <c r="J30" t="s">
        <v>130</v>
      </c>
      <c r="K30" t="s">
        <v>83</v>
      </c>
      <c r="L30" t="s">
        <v>395</v>
      </c>
      <c r="M3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12700000</v>
      </c>
      <c r="N30" t="s">
        <v>144</v>
      </c>
    </row>
    <row r="31" spans="1:14" x14ac:dyDescent="0.3">
      <c r="A31" t="s">
        <v>14</v>
      </c>
      <c r="B31">
        <v>2023</v>
      </c>
      <c r="C31" t="s">
        <v>80</v>
      </c>
      <c r="D31" s="6" t="s">
        <v>396</v>
      </c>
      <c r="E31" s="7">
        <f t="shared" si="0"/>
        <v>17700000</v>
      </c>
      <c r="F31" t="s">
        <v>143</v>
      </c>
      <c r="G31" t="s">
        <v>83</v>
      </c>
      <c r="H31" t="s">
        <v>397</v>
      </c>
      <c r="I3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13600000</v>
      </c>
      <c r="J31" t="s">
        <v>145</v>
      </c>
      <c r="K31" t="s">
        <v>59</v>
      </c>
      <c r="L31" t="s">
        <v>398</v>
      </c>
      <c r="M3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13300000</v>
      </c>
      <c r="N31" t="s">
        <v>144</v>
      </c>
    </row>
    <row r="32" spans="1:14" x14ac:dyDescent="0.3">
      <c r="A32" t="s">
        <v>15</v>
      </c>
      <c r="B32">
        <v>2021</v>
      </c>
      <c r="C32" t="s">
        <v>65</v>
      </c>
      <c r="D32" s="6" t="s">
        <v>399</v>
      </c>
      <c r="E32" s="7">
        <f t="shared" si="0"/>
        <v>36900000</v>
      </c>
      <c r="F32" t="s">
        <v>146</v>
      </c>
      <c r="G32" t="s">
        <v>64</v>
      </c>
      <c r="H32" t="s">
        <v>338</v>
      </c>
      <c r="I3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25500000</v>
      </c>
      <c r="J32" t="s">
        <v>140</v>
      </c>
      <c r="K32" t="s">
        <v>75</v>
      </c>
      <c r="L32" t="s">
        <v>400</v>
      </c>
      <c r="M3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8300000.0000000009</v>
      </c>
      <c r="N32" t="s">
        <v>147</v>
      </c>
    </row>
    <row r="33" spans="1:14" x14ac:dyDescent="0.3">
      <c r="A33" t="s">
        <v>15</v>
      </c>
      <c r="B33">
        <v>2022</v>
      </c>
      <c r="C33" t="s">
        <v>65</v>
      </c>
      <c r="D33" s="6" t="s">
        <v>401</v>
      </c>
      <c r="E33" s="7">
        <f t="shared" si="0"/>
        <v>21600000</v>
      </c>
      <c r="F33" t="s">
        <v>146</v>
      </c>
      <c r="G33" t="s">
        <v>64</v>
      </c>
      <c r="H33" t="s">
        <v>402</v>
      </c>
      <c r="I3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20400000</v>
      </c>
      <c r="J33" t="s">
        <v>140</v>
      </c>
      <c r="K33" t="s">
        <v>84</v>
      </c>
      <c r="L33" t="s">
        <v>403</v>
      </c>
      <c r="M3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9680000</v>
      </c>
      <c r="N33" t="s">
        <v>148</v>
      </c>
    </row>
    <row r="34" spans="1:14" x14ac:dyDescent="0.3">
      <c r="A34" t="s">
        <v>15</v>
      </c>
      <c r="B34">
        <v>2023</v>
      </c>
      <c r="C34" t="s">
        <v>65</v>
      </c>
      <c r="D34" s="6" t="s">
        <v>404</v>
      </c>
      <c r="E34" s="7">
        <f t="shared" si="0"/>
        <v>29500000</v>
      </c>
      <c r="F34" t="s">
        <v>140</v>
      </c>
      <c r="G34" t="s">
        <v>64</v>
      </c>
      <c r="H34" t="s">
        <v>405</v>
      </c>
      <c r="I3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28400000</v>
      </c>
      <c r="J34" t="s">
        <v>146</v>
      </c>
      <c r="K34" t="s">
        <v>85</v>
      </c>
      <c r="L34" t="s">
        <v>406</v>
      </c>
      <c r="M3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6320000</v>
      </c>
      <c r="N34" t="s">
        <v>144</v>
      </c>
    </row>
    <row r="35" spans="1:14" x14ac:dyDescent="0.3">
      <c r="A35" t="s">
        <v>16</v>
      </c>
      <c r="B35">
        <v>2021</v>
      </c>
      <c r="C35" t="s">
        <v>86</v>
      </c>
      <c r="D35" s="6" t="s">
        <v>407</v>
      </c>
      <c r="E35" s="7">
        <f t="shared" si="0"/>
        <v>164000000</v>
      </c>
      <c r="F35" t="s">
        <v>125</v>
      </c>
      <c r="G35" t="s">
        <v>59</v>
      </c>
      <c r="H35" t="s">
        <v>408</v>
      </c>
      <c r="I3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73300000</v>
      </c>
      <c r="J35" t="s">
        <v>121</v>
      </c>
      <c r="K35" t="s">
        <v>78</v>
      </c>
      <c r="L35" t="s">
        <v>409</v>
      </c>
      <c r="M3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69200000</v>
      </c>
      <c r="N35" t="s">
        <v>149</v>
      </c>
    </row>
    <row r="36" spans="1:14" x14ac:dyDescent="0.3">
      <c r="A36" t="s">
        <v>16</v>
      </c>
      <c r="B36">
        <v>2022</v>
      </c>
      <c r="C36" t="s">
        <v>64</v>
      </c>
      <c r="D36" s="6" t="s">
        <v>410</v>
      </c>
      <c r="E36" s="7">
        <f t="shared" si="0"/>
        <v>206000000</v>
      </c>
      <c r="F36" t="s">
        <v>125</v>
      </c>
      <c r="G36" t="s">
        <v>59</v>
      </c>
      <c r="H36" t="s">
        <v>411</v>
      </c>
      <c r="I3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104000000</v>
      </c>
      <c r="J36" t="s">
        <v>119</v>
      </c>
      <c r="K36" t="s">
        <v>84</v>
      </c>
      <c r="L36" t="s">
        <v>412</v>
      </c>
      <c r="M3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73900000</v>
      </c>
      <c r="N36" t="s">
        <v>150</v>
      </c>
    </row>
    <row r="37" spans="1:14" x14ac:dyDescent="0.3">
      <c r="A37" t="s">
        <v>16</v>
      </c>
      <c r="B37">
        <v>2023</v>
      </c>
      <c r="C37" t="s">
        <v>64</v>
      </c>
      <c r="D37" s="6" t="s">
        <v>413</v>
      </c>
      <c r="E37" s="7">
        <f t="shared" si="0"/>
        <v>227000000</v>
      </c>
      <c r="F37" t="s">
        <v>125</v>
      </c>
      <c r="G37" t="s">
        <v>84</v>
      </c>
      <c r="H37" t="s">
        <v>414</v>
      </c>
      <c r="I3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103000000</v>
      </c>
      <c r="J37" t="s">
        <v>150</v>
      </c>
      <c r="K37" t="s">
        <v>59</v>
      </c>
      <c r="L37" t="s">
        <v>415</v>
      </c>
      <c r="M3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60700000</v>
      </c>
      <c r="N37" t="s">
        <v>151</v>
      </c>
    </row>
    <row r="38" spans="1:14" x14ac:dyDescent="0.3">
      <c r="A38" t="s">
        <v>17</v>
      </c>
      <c r="B38">
        <v>2021</v>
      </c>
      <c r="C38" t="s">
        <v>65</v>
      </c>
      <c r="D38" s="6" t="s">
        <v>416</v>
      </c>
      <c r="E38" s="7">
        <f t="shared" si="0"/>
        <v>728000000</v>
      </c>
      <c r="F38" t="s">
        <v>126</v>
      </c>
      <c r="G38" t="s">
        <v>78</v>
      </c>
      <c r="H38" t="s">
        <v>417</v>
      </c>
      <c r="I3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710000000</v>
      </c>
      <c r="J38" t="s">
        <v>46</v>
      </c>
      <c r="K38" t="s">
        <v>59</v>
      </c>
      <c r="L38" t="s">
        <v>418</v>
      </c>
      <c r="M3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236000000</v>
      </c>
      <c r="N38" t="s">
        <v>119</v>
      </c>
    </row>
    <row r="39" spans="1:14" x14ac:dyDescent="0.3">
      <c r="A39" t="s">
        <v>17</v>
      </c>
      <c r="B39">
        <v>2022</v>
      </c>
      <c r="C39" t="s">
        <v>65</v>
      </c>
      <c r="D39" s="6" t="s">
        <v>419</v>
      </c>
      <c r="E39" s="7">
        <f t="shared" si="0"/>
        <v>809000000</v>
      </c>
      <c r="F39" t="s">
        <v>152</v>
      </c>
      <c r="G39" t="s">
        <v>78</v>
      </c>
      <c r="H39" t="s">
        <v>420</v>
      </c>
      <c r="I3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772000000</v>
      </c>
      <c r="J39" t="s">
        <v>37</v>
      </c>
      <c r="K39" t="s">
        <v>59</v>
      </c>
      <c r="L39" t="s">
        <v>421</v>
      </c>
      <c r="M3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314000000</v>
      </c>
      <c r="N39" t="s">
        <v>119</v>
      </c>
    </row>
    <row r="40" spans="1:14" x14ac:dyDescent="0.3">
      <c r="A40" t="s">
        <v>17</v>
      </c>
      <c r="B40">
        <v>2023</v>
      </c>
      <c r="C40" t="s">
        <v>78</v>
      </c>
      <c r="D40" s="6" t="s">
        <v>422</v>
      </c>
      <c r="E40" s="7">
        <f t="shared" si="0"/>
        <v>846000000</v>
      </c>
      <c r="F40" t="s">
        <v>153</v>
      </c>
      <c r="G40" t="s">
        <v>65</v>
      </c>
      <c r="H40" t="s">
        <v>423</v>
      </c>
      <c r="I4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721000000</v>
      </c>
      <c r="J40" t="s">
        <v>154</v>
      </c>
      <c r="K40" t="s">
        <v>59</v>
      </c>
      <c r="L40" t="s">
        <v>424</v>
      </c>
      <c r="M4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231000000</v>
      </c>
      <c r="N40" t="s">
        <v>119</v>
      </c>
    </row>
    <row r="41" spans="1:14" x14ac:dyDescent="0.3">
      <c r="A41" t="s">
        <v>18</v>
      </c>
      <c r="B41">
        <v>2021</v>
      </c>
      <c r="C41" t="s">
        <v>86</v>
      </c>
      <c r="D41" s="6" t="s">
        <v>425</v>
      </c>
      <c r="E41" s="7">
        <f t="shared" si="0"/>
        <v>214000000</v>
      </c>
      <c r="F41" t="s">
        <v>140</v>
      </c>
      <c r="G41" t="s">
        <v>75</v>
      </c>
      <c r="H41" t="s">
        <v>426</v>
      </c>
      <c r="I4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186000000</v>
      </c>
      <c r="J41" t="s">
        <v>57</v>
      </c>
      <c r="K41" t="s">
        <v>76</v>
      </c>
      <c r="L41" t="s">
        <v>426</v>
      </c>
      <c r="M4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186000000</v>
      </c>
      <c r="N41" t="s">
        <v>57</v>
      </c>
    </row>
    <row r="42" spans="1:14" x14ac:dyDescent="0.3">
      <c r="A42" t="s">
        <v>18</v>
      </c>
      <c r="B42">
        <v>2022</v>
      </c>
      <c r="C42" t="s">
        <v>59</v>
      </c>
      <c r="D42" s="6" t="s">
        <v>427</v>
      </c>
      <c r="E42" s="7">
        <f t="shared" si="0"/>
        <v>286000000</v>
      </c>
      <c r="F42" t="s">
        <v>121</v>
      </c>
      <c r="G42" t="s">
        <v>64</v>
      </c>
      <c r="H42" t="s">
        <v>428</v>
      </c>
      <c r="I4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204000000</v>
      </c>
      <c r="J42" t="s">
        <v>140</v>
      </c>
      <c r="K42" t="s">
        <v>75</v>
      </c>
      <c r="L42" t="s">
        <v>429</v>
      </c>
      <c r="M4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116000000</v>
      </c>
      <c r="N42" t="s">
        <v>57</v>
      </c>
    </row>
    <row r="43" spans="1:14" x14ac:dyDescent="0.3">
      <c r="A43" t="s">
        <v>18</v>
      </c>
      <c r="B43">
        <v>2023</v>
      </c>
      <c r="C43" t="s">
        <v>64</v>
      </c>
      <c r="D43" s="6" t="s">
        <v>425</v>
      </c>
      <c r="E43" s="7">
        <f t="shared" si="0"/>
        <v>214000000</v>
      </c>
      <c r="F43" t="s">
        <v>140</v>
      </c>
      <c r="G43" t="s">
        <v>75</v>
      </c>
      <c r="H43" t="s">
        <v>426</v>
      </c>
      <c r="I4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186000000</v>
      </c>
      <c r="J43" t="s">
        <v>57</v>
      </c>
      <c r="K43" t="s">
        <v>76</v>
      </c>
      <c r="L43" t="s">
        <v>426</v>
      </c>
      <c r="M4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186000000</v>
      </c>
      <c r="N43" t="s">
        <v>57</v>
      </c>
    </row>
    <row r="44" spans="1:14" x14ac:dyDescent="0.3">
      <c r="A44" t="s">
        <v>19</v>
      </c>
      <c r="B44">
        <v>2021</v>
      </c>
      <c r="C44" t="s">
        <v>84</v>
      </c>
      <c r="D44" s="6" t="s">
        <v>430</v>
      </c>
      <c r="E44" s="7">
        <f t="shared" si="0"/>
        <v>468000000</v>
      </c>
      <c r="F44" t="s">
        <v>155</v>
      </c>
      <c r="G44" t="s">
        <v>87</v>
      </c>
      <c r="H44" t="s">
        <v>431</v>
      </c>
      <c r="I4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306000000</v>
      </c>
      <c r="J44" t="s">
        <v>145</v>
      </c>
      <c r="K44" t="s">
        <v>75</v>
      </c>
      <c r="L44" t="s">
        <v>432</v>
      </c>
      <c r="M4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271000000</v>
      </c>
      <c r="N44" t="s">
        <v>126</v>
      </c>
    </row>
    <row r="45" spans="1:14" x14ac:dyDescent="0.3">
      <c r="A45" t="s">
        <v>19</v>
      </c>
      <c r="B45">
        <v>2022</v>
      </c>
      <c r="C45" t="s">
        <v>84</v>
      </c>
      <c r="D45" s="6" t="s">
        <v>433</v>
      </c>
      <c r="E45" s="7">
        <f t="shared" si="0"/>
        <v>612000000</v>
      </c>
      <c r="F45" t="s">
        <v>156</v>
      </c>
      <c r="G45" t="s">
        <v>87</v>
      </c>
      <c r="H45" t="s">
        <v>434</v>
      </c>
      <c r="I4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476000000</v>
      </c>
      <c r="J45" t="s">
        <v>145</v>
      </c>
      <c r="K45" t="s">
        <v>75</v>
      </c>
      <c r="L45" t="s">
        <v>435</v>
      </c>
      <c r="M4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319000000</v>
      </c>
      <c r="N45" t="s">
        <v>126</v>
      </c>
    </row>
    <row r="46" spans="1:14" x14ac:dyDescent="0.3">
      <c r="A46" t="s">
        <v>19</v>
      </c>
      <c r="B46">
        <v>2023</v>
      </c>
      <c r="C46" t="s">
        <v>84</v>
      </c>
      <c r="D46" s="6" t="s">
        <v>436</v>
      </c>
      <c r="E46" s="7">
        <f t="shared" si="0"/>
        <v>756000000</v>
      </c>
      <c r="F46" t="s">
        <v>155</v>
      </c>
      <c r="G46" t="s">
        <v>87</v>
      </c>
      <c r="H46" t="s">
        <v>437</v>
      </c>
      <c r="I4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405000000</v>
      </c>
      <c r="J46" t="s">
        <v>145</v>
      </c>
      <c r="K46" t="s">
        <v>75</v>
      </c>
      <c r="L46" t="s">
        <v>438</v>
      </c>
      <c r="M4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377000000</v>
      </c>
      <c r="N46" t="s">
        <v>126</v>
      </c>
    </row>
    <row r="47" spans="1:14" x14ac:dyDescent="0.3">
      <c r="A47" t="s">
        <v>20</v>
      </c>
      <c r="B47">
        <v>2021</v>
      </c>
      <c r="C47" t="s">
        <v>59</v>
      </c>
      <c r="D47" s="6" t="s">
        <v>439</v>
      </c>
      <c r="E47" s="7">
        <f t="shared" si="0"/>
        <v>5790000000</v>
      </c>
      <c r="F47" t="s">
        <v>121</v>
      </c>
      <c r="G47" t="s">
        <v>62</v>
      </c>
      <c r="H47" t="s">
        <v>440</v>
      </c>
      <c r="I4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2260000000</v>
      </c>
      <c r="J47" t="s">
        <v>120</v>
      </c>
      <c r="K47" t="s">
        <v>67</v>
      </c>
      <c r="L47" t="s">
        <v>441</v>
      </c>
      <c r="M4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2170000000</v>
      </c>
      <c r="N47" t="s">
        <v>125</v>
      </c>
    </row>
    <row r="48" spans="1:14" x14ac:dyDescent="0.3">
      <c r="A48" t="s">
        <v>20</v>
      </c>
      <c r="B48">
        <v>2022</v>
      </c>
      <c r="C48" t="s">
        <v>59</v>
      </c>
      <c r="D48" s="6" t="s">
        <v>442</v>
      </c>
      <c r="E48" s="7">
        <f t="shared" si="0"/>
        <v>5320000000</v>
      </c>
      <c r="F48" t="s">
        <v>121</v>
      </c>
      <c r="G48" t="s">
        <v>67</v>
      </c>
      <c r="H48" t="s">
        <v>443</v>
      </c>
      <c r="I4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2500000000</v>
      </c>
      <c r="J48" t="s">
        <v>131</v>
      </c>
      <c r="K48" t="s">
        <v>62</v>
      </c>
      <c r="L48" t="s">
        <v>444</v>
      </c>
      <c r="M4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2250000000</v>
      </c>
      <c r="N48" t="s">
        <v>125</v>
      </c>
    </row>
    <row r="49" spans="1:14" x14ac:dyDescent="0.3">
      <c r="A49" t="s">
        <v>20</v>
      </c>
      <c r="B49">
        <v>2023</v>
      </c>
      <c r="C49" t="s">
        <v>59</v>
      </c>
      <c r="D49" s="6" t="s">
        <v>445</v>
      </c>
      <c r="E49" s="7">
        <f t="shared" si="0"/>
        <v>4000000000</v>
      </c>
      <c r="F49" t="s">
        <v>121</v>
      </c>
      <c r="G49" t="s">
        <v>62</v>
      </c>
      <c r="H49" t="s">
        <v>446</v>
      </c>
      <c r="I4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1490000000</v>
      </c>
      <c r="J49" t="s">
        <v>157</v>
      </c>
      <c r="K49" t="s">
        <v>84</v>
      </c>
      <c r="L49" t="s">
        <v>447</v>
      </c>
      <c r="M4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1200000000</v>
      </c>
      <c r="N49" t="s">
        <v>150</v>
      </c>
    </row>
    <row r="50" spans="1:14" x14ac:dyDescent="0.3">
      <c r="A50" t="s">
        <v>21</v>
      </c>
      <c r="B50">
        <v>2021</v>
      </c>
      <c r="C50" t="s">
        <v>64</v>
      </c>
      <c r="D50" s="6" t="s">
        <v>448</v>
      </c>
      <c r="E50" s="7">
        <f t="shared" si="0"/>
        <v>39300000</v>
      </c>
      <c r="F50" t="s">
        <v>125</v>
      </c>
      <c r="G50" t="s">
        <v>84</v>
      </c>
      <c r="H50" t="s">
        <v>449</v>
      </c>
      <c r="I5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16500000</v>
      </c>
      <c r="J50" t="s">
        <v>150</v>
      </c>
      <c r="K50" t="s">
        <v>78</v>
      </c>
      <c r="L50" t="s">
        <v>450</v>
      </c>
      <c r="M5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11800000</v>
      </c>
      <c r="N50" t="s">
        <v>158</v>
      </c>
    </row>
    <row r="51" spans="1:14" x14ac:dyDescent="0.3">
      <c r="A51" t="s">
        <v>21</v>
      </c>
      <c r="B51">
        <v>2022</v>
      </c>
      <c r="C51" t="s">
        <v>64</v>
      </c>
      <c r="D51" s="6" t="s">
        <v>451</v>
      </c>
      <c r="E51" s="7">
        <f t="shared" si="0"/>
        <v>45400000</v>
      </c>
      <c r="F51" t="s">
        <v>131</v>
      </c>
      <c r="G51" t="s">
        <v>84</v>
      </c>
      <c r="H51" t="s">
        <v>389</v>
      </c>
      <c r="I5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16700000</v>
      </c>
      <c r="J51" t="s">
        <v>150</v>
      </c>
      <c r="K51" t="s">
        <v>78</v>
      </c>
      <c r="L51" t="s">
        <v>452</v>
      </c>
      <c r="M5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13000000</v>
      </c>
      <c r="N51" t="s">
        <v>158</v>
      </c>
    </row>
    <row r="52" spans="1:14" x14ac:dyDescent="0.3">
      <c r="A52" t="s">
        <v>21</v>
      </c>
      <c r="B52">
        <v>2023</v>
      </c>
      <c r="C52" t="s">
        <v>64</v>
      </c>
      <c r="D52" s="6" t="s">
        <v>453</v>
      </c>
      <c r="E52" s="7">
        <f t="shared" si="0"/>
        <v>42800000</v>
      </c>
      <c r="F52" t="s">
        <v>131</v>
      </c>
      <c r="G52" t="s">
        <v>78</v>
      </c>
      <c r="H52" t="s">
        <v>452</v>
      </c>
      <c r="I5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13000000</v>
      </c>
      <c r="J52" t="s">
        <v>137</v>
      </c>
      <c r="K52" t="s">
        <v>65</v>
      </c>
      <c r="L52" t="s">
        <v>360</v>
      </c>
      <c r="M5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12600000</v>
      </c>
      <c r="N52" t="s">
        <v>141</v>
      </c>
    </row>
    <row r="53" spans="1:14" x14ac:dyDescent="0.3">
      <c r="A53" t="s">
        <v>22</v>
      </c>
      <c r="B53">
        <v>2021</v>
      </c>
      <c r="C53" t="s">
        <v>59</v>
      </c>
      <c r="D53" s="6" t="s">
        <v>454</v>
      </c>
      <c r="E53" s="7">
        <f t="shared" si="0"/>
        <v>15100000</v>
      </c>
      <c r="F53" t="s">
        <v>145</v>
      </c>
      <c r="G53" t="s">
        <v>88</v>
      </c>
      <c r="H53" t="s">
        <v>455</v>
      </c>
      <c r="I5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13700000</v>
      </c>
      <c r="J53" t="s">
        <v>125</v>
      </c>
      <c r="K53" t="s">
        <v>89</v>
      </c>
      <c r="L53" t="s">
        <v>455</v>
      </c>
      <c r="M5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13700000</v>
      </c>
      <c r="N53" t="s">
        <v>131</v>
      </c>
    </row>
    <row r="54" spans="1:14" x14ac:dyDescent="0.3">
      <c r="A54" t="s">
        <v>22</v>
      </c>
      <c r="B54">
        <v>2022</v>
      </c>
      <c r="C54" t="s">
        <v>88</v>
      </c>
      <c r="D54" s="6" t="s">
        <v>456</v>
      </c>
      <c r="E54" s="7">
        <f t="shared" si="0"/>
        <v>27000000</v>
      </c>
      <c r="F54" t="s">
        <v>125</v>
      </c>
      <c r="G54" t="s">
        <v>59</v>
      </c>
      <c r="H54" t="s">
        <v>457</v>
      </c>
      <c r="I5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22700000</v>
      </c>
      <c r="J54" t="s">
        <v>145</v>
      </c>
      <c r="K54" t="s">
        <v>90</v>
      </c>
      <c r="L54" t="s">
        <v>458</v>
      </c>
      <c r="M5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12800000</v>
      </c>
      <c r="N54" t="s">
        <v>144</v>
      </c>
    </row>
    <row r="55" spans="1:14" x14ac:dyDescent="0.3">
      <c r="A55" t="s">
        <v>22</v>
      </c>
      <c r="B55">
        <v>2023</v>
      </c>
      <c r="C55" t="s">
        <v>88</v>
      </c>
      <c r="D55" s="6" t="s">
        <v>459</v>
      </c>
      <c r="E55" s="7">
        <f t="shared" si="0"/>
        <v>27300000</v>
      </c>
      <c r="F55" t="s">
        <v>125</v>
      </c>
      <c r="G55" t="s">
        <v>59</v>
      </c>
      <c r="H55" t="s">
        <v>460</v>
      </c>
      <c r="I5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22300000</v>
      </c>
      <c r="J55" t="s">
        <v>145</v>
      </c>
      <c r="K55" t="s">
        <v>75</v>
      </c>
      <c r="L55" t="s">
        <v>461</v>
      </c>
      <c r="M5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15300000</v>
      </c>
      <c r="N55" t="s">
        <v>126</v>
      </c>
    </row>
    <row r="56" spans="1:14" x14ac:dyDescent="0.3">
      <c r="A56" t="s">
        <v>23</v>
      </c>
      <c r="B56">
        <v>2021</v>
      </c>
      <c r="C56" t="s">
        <v>62</v>
      </c>
      <c r="D56" s="6" t="s">
        <v>462</v>
      </c>
      <c r="E56" s="7">
        <f t="shared" si="0"/>
        <v>37200000</v>
      </c>
      <c r="F56" t="s">
        <v>50</v>
      </c>
      <c r="G56" t="s">
        <v>65</v>
      </c>
      <c r="H56" t="s">
        <v>463</v>
      </c>
      <c r="I5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23600000</v>
      </c>
      <c r="J56" t="s">
        <v>126</v>
      </c>
      <c r="K56" t="s">
        <v>59</v>
      </c>
      <c r="L56" t="s">
        <v>464</v>
      </c>
      <c r="M5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18800000</v>
      </c>
      <c r="N56" t="s">
        <v>159</v>
      </c>
    </row>
    <row r="57" spans="1:14" x14ac:dyDescent="0.3">
      <c r="A57" t="s">
        <v>23</v>
      </c>
      <c r="B57">
        <v>2022</v>
      </c>
      <c r="C57" t="s">
        <v>62</v>
      </c>
      <c r="D57" s="6" t="s">
        <v>465</v>
      </c>
      <c r="E57" s="7">
        <f t="shared" si="0"/>
        <v>45100000</v>
      </c>
      <c r="F57" t="s">
        <v>50</v>
      </c>
      <c r="G57" t="s">
        <v>65</v>
      </c>
      <c r="H57" t="s">
        <v>401</v>
      </c>
      <c r="I5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21600000</v>
      </c>
      <c r="J57" t="s">
        <v>126</v>
      </c>
      <c r="K57" t="s">
        <v>59</v>
      </c>
      <c r="L57" t="s">
        <v>466</v>
      </c>
      <c r="M5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21300000</v>
      </c>
      <c r="N57" t="s">
        <v>159</v>
      </c>
    </row>
    <row r="58" spans="1:14" x14ac:dyDescent="0.3">
      <c r="A58" t="s">
        <v>23</v>
      </c>
      <c r="B58">
        <v>2023</v>
      </c>
      <c r="C58" t="s">
        <v>62</v>
      </c>
      <c r="D58" s="6" t="s">
        <v>467</v>
      </c>
      <c r="E58" s="7">
        <f t="shared" si="0"/>
        <v>42900000</v>
      </c>
      <c r="F58" t="s">
        <v>50</v>
      </c>
      <c r="G58" t="s">
        <v>65</v>
      </c>
      <c r="H58" t="s">
        <v>468</v>
      </c>
      <c r="I5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24500000</v>
      </c>
      <c r="J58" t="s">
        <v>126</v>
      </c>
      <c r="K58" t="s">
        <v>76</v>
      </c>
      <c r="L58" t="s">
        <v>469</v>
      </c>
      <c r="M5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20100000</v>
      </c>
      <c r="N58" t="s">
        <v>50</v>
      </c>
    </row>
    <row r="59" spans="1:14" x14ac:dyDescent="0.3">
      <c r="A59" t="s">
        <v>24</v>
      </c>
      <c r="B59">
        <v>2021</v>
      </c>
      <c r="C59" t="s">
        <v>59</v>
      </c>
      <c r="D59" s="6" t="s">
        <v>470</v>
      </c>
      <c r="E59" s="7">
        <f t="shared" si="0"/>
        <v>1020000000</v>
      </c>
      <c r="F59" t="s">
        <v>157</v>
      </c>
      <c r="G59" t="s">
        <v>75</v>
      </c>
      <c r="H59" t="s">
        <v>471</v>
      </c>
      <c r="I5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820000000</v>
      </c>
      <c r="J59" t="s">
        <v>126</v>
      </c>
      <c r="K59" t="s">
        <v>91</v>
      </c>
      <c r="L59" t="s">
        <v>472</v>
      </c>
      <c r="M5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714000000</v>
      </c>
      <c r="N59" t="s">
        <v>148</v>
      </c>
    </row>
    <row r="60" spans="1:14" x14ac:dyDescent="0.3">
      <c r="A60" t="s">
        <v>24</v>
      </c>
      <c r="B60">
        <v>2022</v>
      </c>
      <c r="C60" t="s">
        <v>59</v>
      </c>
      <c r="D60" s="6" t="s">
        <v>314</v>
      </c>
      <c r="E60" s="7">
        <f t="shared" si="0"/>
        <v>1160000000</v>
      </c>
      <c r="F60" t="s">
        <v>125</v>
      </c>
      <c r="G60" t="s">
        <v>75</v>
      </c>
      <c r="H60" t="s">
        <v>473</v>
      </c>
      <c r="I6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863000000</v>
      </c>
      <c r="J60" t="s">
        <v>126</v>
      </c>
      <c r="K60" t="s">
        <v>91</v>
      </c>
      <c r="L60" t="s">
        <v>474</v>
      </c>
      <c r="M6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764000000</v>
      </c>
      <c r="N60" t="s">
        <v>148</v>
      </c>
    </row>
    <row r="61" spans="1:14" x14ac:dyDescent="0.3">
      <c r="A61" t="s">
        <v>24</v>
      </c>
      <c r="B61">
        <v>2023</v>
      </c>
      <c r="C61" t="s">
        <v>75</v>
      </c>
      <c r="D61" s="6" t="s">
        <v>475</v>
      </c>
      <c r="E61" s="7">
        <f t="shared" si="0"/>
        <v>667000000</v>
      </c>
      <c r="F61" t="s">
        <v>19</v>
      </c>
      <c r="G61" t="s">
        <v>65</v>
      </c>
      <c r="H61" t="s">
        <v>476</v>
      </c>
      <c r="I6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484000000</v>
      </c>
      <c r="J61" t="s">
        <v>19</v>
      </c>
      <c r="K61" t="s">
        <v>90</v>
      </c>
      <c r="L61" t="s">
        <v>477</v>
      </c>
      <c r="M6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478000000</v>
      </c>
      <c r="N61" t="s">
        <v>19</v>
      </c>
    </row>
    <row r="62" spans="1:14" x14ac:dyDescent="0.3">
      <c r="A62" t="s">
        <v>25</v>
      </c>
      <c r="B62">
        <v>2021</v>
      </c>
      <c r="C62" t="s">
        <v>64</v>
      </c>
      <c r="D62" s="6" t="s">
        <v>478</v>
      </c>
      <c r="E62" s="7">
        <f t="shared" si="0"/>
        <v>106000000</v>
      </c>
      <c r="F62" t="s">
        <v>160</v>
      </c>
      <c r="G62" t="s">
        <v>65</v>
      </c>
      <c r="H62" t="s">
        <v>479</v>
      </c>
      <c r="I6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76900000</v>
      </c>
      <c r="J62" t="s">
        <v>161</v>
      </c>
      <c r="K62" t="s">
        <v>59</v>
      </c>
      <c r="L62" t="s">
        <v>480</v>
      </c>
      <c r="M6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43200000</v>
      </c>
      <c r="N62" t="s">
        <v>119</v>
      </c>
    </row>
    <row r="63" spans="1:14" x14ac:dyDescent="0.3">
      <c r="A63" t="s">
        <v>25</v>
      </c>
      <c r="B63">
        <v>2022</v>
      </c>
      <c r="C63" t="s">
        <v>64</v>
      </c>
      <c r="D63" s="6" t="s">
        <v>481</v>
      </c>
      <c r="E63" s="7">
        <f t="shared" si="0"/>
        <v>111000000</v>
      </c>
      <c r="F63" t="s">
        <v>125</v>
      </c>
      <c r="G63" t="s">
        <v>65</v>
      </c>
      <c r="H63" t="s">
        <v>482</v>
      </c>
      <c r="I6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60100000</v>
      </c>
      <c r="J63" t="s">
        <v>154</v>
      </c>
      <c r="K63" t="s">
        <v>59</v>
      </c>
      <c r="L63" t="s">
        <v>483</v>
      </c>
      <c r="M6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47600000</v>
      </c>
      <c r="N63" t="s">
        <v>119</v>
      </c>
    </row>
    <row r="64" spans="1:14" x14ac:dyDescent="0.3">
      <c r="A64" t="s">
        <v>25</v>
      </c>
      <c r="B64">
        <v>2023</v>
      </c>
      <c r="C64" t="s">
        <v>64</v>
      </c>
      <c r="D64" s="6" t="s">
        <v>484</v>
      </c>
      <c r="E64" s="7">
        <f t="shared" si="0"/>
        <v>98600000</v>
      </c>
      <c r="F64" t="s">
        <v>131</v>
      </c>
      <c r="G64" t="s">
        <v>65</v>
      </c>
      <c r="H64" t="s">
        <v>485</v>
      </c>
      <c r="I6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83700000</v>
      </c>
      <c r="J64" t="s">
        <v>154</v>
      </c>
      <c r="K64" t="s">
        <v>59</v>
      </c>
      <c r="L64" t="s">
        <v>486</v>
      </c>
      <c r="M6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44900000</v>
      </c>
      <c r="N64" t="s">
        <v>119</v>
      </c>
    </row>
    <row r="65" spans="1:14" x14ac:dyDescent="0.3">
      <c r="A65" t="s">
        <v>26</v>
      </c>
      <c r="B65">
        <v>2021</v>
      </c>
      <c r="C65" t="s">
        <v>84</v>
      </c>
      <c r="D65" s="6" t="s">
        <v>487</v>
      </c>
      <c r="E65" s="7">
        <f t="shared" si="0"/>
        <v>76600000</v>
      </c>
      <c r="F65" t="s">
        <v>155</v>
      </c>
      <c r="G65" t="s">
        <v>65</v>
      </c>
      <c r="H65" t="s">
        <v>488</v>
      </c>
      <c r="I6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67600000</v>
      </c>
      <c r="J65" t="s">
        <v>131</v>
      </c>
      <c r="K65" t="s">
        <v>64</v>
      </c>
      <c r="L65" t="s">
        <v>489</v>
      </c>
      <c r="M6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40300000</v>
      </c>
      <c r="N65" t="s">
        <v>125</v>
      </c>
    </row>
    <row r="66" spans="1:14" x14ac:dyDescent="0.3">
      <c r="A66" t="s">
        <v>26</v>
      </c>
      <c r="B66">
        <v>2022</v>
      </c>
      <c r="C66" t="s">
        <v>65</v>
      </c>
      <c r="D66" s="6" t="s">
        <v>490</v>
      </c>
      <c r="E66" s="7">
        <f t="shared" ref="E66:E129" si="1">IF(RIGHT(D66,1)="M",VALUE(LEFT(D66,LEN(D66)-1))*1000000,IF(RIGHT(D66,1)="B",VALUE(LEFT(D66,LEN(D66)-1))*1000000000,IF(RIGHT(D66,1)="K",VALUE(LEFT(D66,LEN(D66)-1))*1000,D66)))</f>
        <v>76500000</v>
      </c>
      <c r="F66" t="s">
        <v>126</v>
      </c>
      <c r="G66" t="s">
        <v>75</v>
      </c>
      <c r="H66" t="s">
        <v>491</v>
      </c>
      <c r="I6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75400000</v>
      </c>
      <c r="J66" t="s">
        <v>131</v>
      </c>
      <c r="K66" t="s">
        <v>64</v>
      </c>
      <c r="L66" t="s">
        <v>492</v>
      </c>
      <c r="M6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61400000</v>
      </c>
      <c r="N66" t="s">
        <v>125</v>
      </c>
    </row>
    <row r="67" spans="1:14" x14ac:dyDescent="0.3">
      <c r="A67" t="s">
        <v>26</v>
      </c>
      <c r="B67">
        <v>2023</v>
      </c>
      <c r="C67" t="s">
        <v>65</v>
      </c>
      <c r="D67" s="6" t="s">
        <v>478</v>
      </c>
      <c r="E67" s="7">
        <f t="shared" si="1"/>
        <v>106000000</v>
      </c>
      <c r="F67" t="s">
        <v>126</v>
      </c>
      <c r="G67" t="s">
        <v>84</v>
      </c>
      <c r="H67" t="s">
        <v>493</v>
      </c>
      <c r="I6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69500000</v>
      </c>
      <c r="J67" t="s">
        <v>125</v>
      </c>
      <c r="K67" t="s">
        <v>64</v>
      </c>
      <c r="L67" t="s">
        <v>494</v>
      </c>
      <c r="M6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59100000</v>
      </c>
      <c r="N67" t="s">
        <v>125</v>
      </c>
    </row>
    <row r="68" spans="1:14" x14ac:dyDescent="0.3">
      <c r="A68" t="s">
        <v>27</v>
      </c>
      <c r="B68">
        <v>2021</v>
      </c>
      <c r="C68" t="s">
        <v>65</v>
      </c>
      <c r="D68" s="6" t="s">
        <v>495</v>
      </c>
      <c r="E68" s="7">
        <f t="shared" si="1"/>
        <v>539000000</v>
      </c>
      <c r="F68" t="s">
        <v>152</v>
      </c>
      <c r="G68" t="s">
        <v>78</v>
      </c>
      <c r="H68" t="s">
        <v>496</v>
      </c>
      <c r="I6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402000000</v>
      </c>
      <c r="J68" t="s">
        <v>37</v>
      </c>
      <c r="K68" t="s">
        <v>84</v>
      </c>
      <c r="L68" t="s">
        <v>497</v>
      </c>
      <c r="M6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353000000</v>
      </c>
      <c r="N68" t="s">
        <v>148</v>
      </c>
    </row>
    <row r="69" spans="1:14" x14ac:dyDescent="0.3">
      <c r="A69" t="s">
        <v>27</v>
      </c>
      <c r="B69">
        <v>2022</v>
      </c>
      <c r="C69" t="s">
        <v>65</v>
      </c>
      <c r="D69" s="6" t="s">
        <v>498</v>
      </c>
      <c r="E69" s="7">
        <f t="shared" si="1"/>
        <v>453000000</v>
      </c>
      <c r="F69" t="s">
        <v>152</v>
      </c>
      <c r="G69" t="s">
        <v>78</v>
      </c>
      <c r="H69" t="s">
        <v>499</v>
      </c>
      <c r="I6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320000000</v>
      </c>
      <c r="J69" t="s">
        <v>37</v>
      </c>
      <c r="K69" t="s">
        <v>92</v>
      </c>
      <c r="L69" t="s">
        <v>500</v>
      </c>
      <c r="M6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267000000</v>
      </c>
      <c r="N69" t="s">
        <v>122</v>
      </c>
    </row>
    <row r="70" spans="1:14" x14ac:dyDescent="0.3">
      <c r="A70" t="s">
        <v>27</v>
      </c>
      <c r="B70">
        <v>2023</v>
      </c>
      <c r="C70" t="s">
        <v>65</v>
      </c>
      <c r="D70" s="6" t="s">
        <v>501</v>
      </c>
      <c r="E70" s="7">
        <f t="shared" si="1"/>
        <v>342000000</v>
      </c>
      <c r="F70" t="s">
        <v>152</v>
      </c>
      <c r="G70" t="s">
        <v>64</v>
      </c>
      <c r="H70" t="s">
        <v>502</v>
      </c>
      <c r="I7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298000000</v>
      </c>
      <c r="J70" t="s">
        <v>137</v>
      </c>
      <c r="K70" t="s">
        <v>92</v>
      </c>
      <c r="L70" t="s">
        <v>503</v>
      </c>
      <c r="M7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257000000</v>
      </c>
      <c r="N70" t="s">
        <v>122</v>
      </c>
    </row>
    <row r="71" spans="1:14" x14ac:dyDescent="0.3">
      <c r="A71" t="s">
        <v>28</v>
      </c>
      <c r="B71">
        <v>2021</v>
      </c>
      <c r="C71" t="s">
        <v>65</v>
      </c>
      <c r="D71" s="6" t="s">
        <v>504</v>
      </c>
      <c r="E71" s="7">
        <f t="shared" si="1"/>
        <v>334000000</v>
      </c>
      <c r="F71" t="s">
        <v>126</v>
      </c>
      <c r="G71" t="s">
        <v>59</v>
      </c>
      <c r="H71" t="s">
        <v>505</v>
      </c>
      <c r="I7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105000000</v>
      </c>
      <c r="J71" t="s">
        <v>162</v>
      </c>
      <c r="K71" t="s">
        <v>75</v>
      </c>
      <c r="L71" t="s">
        <v>506</v>
      </c>
      <c r="M7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74100000</v>
      </c>
      <c r="N71" t="s">
        <v>131</v>
      </c>
    </row>
    <row r="72" spans="1:14" x14ac:dyDescent="0.3">
      <c r="A72" t="s">
        <v>28</v>
      </c>
      <c r="B72">
        <v>2022</v>
      </c>
      <c r="C72" t="s">
        <v>65</v>
      </c>
      <c r="D72" s="6" t="s">
        <v>507</v>
      </c>
      <c r="E72" s="7">
        <f t="shared" si="1"/>
        <v>301000000</v>
      </c>
      <c r="F72" t="s">
        <v>126</v>
      </c>
      <c r="G72" t="s">
        <v>59</v>
      </c>
      <c r="H72" t="s">
        <v>508</v>
      </c>
      <c r="I7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123000000</v>
      </c>
      <c r="J72" t="s">
        <v>162</v>
      </c>
      <c r="K72" t="s">
        <v>75</v>
      </c>
      <c r="L72" t="s">
        <v>509</v>
      </c>
      <c r="M7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99200000</v>
      </c>
      <c r="N72" t="s">
        <v>131</v>
      </c>
    </row>
    <row r="73" spans="1:14" x14ac:dyDescent="0.3">
      <c r="A73" t="s">
        <v>28</v>
      </c>
      <c r="B73">
        <v>2023</v>
      </c>
      <c r="C73" t="s">
        <v>65</v>
      </c>
      <c r="D73" s="6" t="s">
        <v>510</v>
      </c>
      <c r="E73" s="7">
        <f t="shared" si="1"/>
        <v>336000000</v>
      </c>
      <c r="F73" t="s">
        <v>126</v>
      </c>
      <c r="G73" t="s">
        <v>59</v>
      </c>
      <c r="H73" t="s">
        <v>511</v>
      </c>
      <c r="I7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124000000</v>
      </c>
      <c r="J73" t="s">
        <v>162</v>
      </c>
      <c r="K73" t="s">
        <v>75</v>
      </c>
      <c r="L73" t="s">
        <v>508</v>
      </c>
      <c r="M7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123000000</v>
      </c>
      <c r="N73" t="s">
        <v>131</v>
      </c>
    </row>
    <row r="74" spans="1:14" x14ac:dyDescent="0.3">
      <c r="A74" t="s">
        <v>29</v>
      </c>
      <c r="B74">
        <v>2021</v>
      </c>
      <c r="C74" t="s">
        <v>65</v>
      </c>
      <c r="D74" s="6" t="s">
        <v>512</v>
      </c>
      <c r="E74" s="7">
        <f t="shared" si="1"/>
        <v>35300000</v>
      </c>
      <c r="F74" t="s">
        <v>129</v>
      </c>
      <c r="G74" t="s">
        <v>59</v>
      </c>
      <c r="H74" t="s">
        <v>363</v>
      </c>
      <c r="I7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10700000</v>
      </c>
      <c r="J74" t="s">
        <v>137</v>
      </c>
      <c r="K74" t="s">
        <v>93</v>
      </c>
      <c r="L74" t="s">
        <v>513</v>
      </c>
      <c r="M7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4360000</v>
      </c>
      <c r="N74" t="s">
        <v>163</v>
      </c>
    </row>
    <row r="75" spans="1:14" x14ac:dyDescent="0.3">
      <c r="A75" t="s">
        <v>29</v>
      </c>
      <c r="B75">
        <v>2022</v>
      </c>
      <c r="C75" t="s">
        <v>65</v>
      </c>
      <c r="D75" s="6" t="s">
        <v>514</v>
      </c>
      <c r="E75" s="7">
        <f t="shared" si="1"/>
        <v>17600000</v>
      </c>
      <c r="F75" t="s">
        <v>129</v>
      </c>
      <c r="G75" t="s">
        <v>59</v>
      </c>
      <c r="H75" t="s">
        <v>383</v>
      </c>
      <c r="I7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11600000</v>
      </c>
      <c r="J75" t="s">
        <v>137</v>
      </c>
      <c r="K75" t="s">
        <v>93</v>
      </c>
      <c r="L75" t="s">
        <v>515</v>
      </c>
      <c r="M7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4490000</v>
      </c>
      <c r="N75" t="s">
        <v>163</v>
      </c>
    </row>
    <row r="76" spans="1:14" x14ac:dyDescent="0.3">
      <c r="A76" t="s">
        <v>29</v>
      </c>
      <c r="B76">
        <v>2023</v>
      </c>
      <c r="C76" t="s">
        <v>65</v>
      </c>
      <c r="D76" s="6" t="s">
        <v>516</v>
      </c>
      <c r="E76" s="7">
        <f t="shared" si="1"/>
        <v>45600000</v>
      </c>
      <c r="F76" t="s">
        <v>146</v>
      </c>
      <c r="G76" t="s">
        <v>59</v>
      </c>
      <c r="H76" t="s">
        <v>517</v>
      </c>
      <c r="I7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8930000</v>
      </c>
      <c r="J76" t="s">
        <v>137</v>
      </c>
      <c r="K76" t="s">
        <v>64</v>
      </c>
      <c r="L76" t="s">
        <v>518</v>
      </c>
      <c r="M7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5400000</v>
      </c>
      <c r="N76" t="s">
        <v>125</v>
      </c>
    </row>
    <row r="77" spans="1:14" x14ac:dyDescent="0.3">
      <c r="A77" t="s">
        <v>30</v>
      </c>
      <c r="B77">
        <v>2021</v>
      </c>
      <c r="C77" t="s">
        <v>91</v>
      </c>
      <c r="D77" s="6" t="s">
        <v>519</v>
      </c>
      <c r="E77" s="7">
        <f t="shared" si="1"/>
        <v>950000000</v>
      </c>
      <c r="F77" t="s">
        <v>156</v>
      </c>
      <c r="G77" t="s">
        <v>59</v>
      </c>
      <c r="H77" t="s">
        <v>520</v>
      </c>
      <c r="I7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502000000</v>
      </c>
      <c r="J77" t="s">
        <v>121</v>
      </c>
      <c r="K77" t="s">
        <v>65</v>
      </c>
      <c r="L77" t="s">
        <v>521</v>
      </c>
      <c r="M7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276000000</v>
      </c>
      <c r="N77" t="s">
        <v>126</v>
      </c>
    </row>
    <row r="78" spans="1:14" x14ac:dyDescent="0.3">
      <c r="A78" t="s">
        <v>30</v>
      </c>
      <c r="B78">
        <v>2022</v>
      </c>
      <c r="C78" t="s">
        <v>91</v>
      </c>
      <c r="D78" s="6" t="s">
        <v>321</v>
      </c>
      <c r="E78" s="7">
        <f t="shared" si="1"/>
        <v>1070000000.0000001</v>
      </c>
      <c r="F78" t="s">
        <v>156</v>
      </c>
      <c r="G78" t="s">
        <v>59</v>
      </c>
      <c r="H78" t="s">
        <v>522</v>
      </c>
      <c r="I7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578000000</v>
      </c>
      <c r="J78" t="s">
        <v>121</v>
      </c>
      <c r="K78" t="s">
        <v>75</v>
      </c>
      <c r="L78" t="s">
        <v>523</v>
      </c>
      <c r="M7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238000000</v>
      </c>
      <c r="N78" t="s">
        <v>20</v>
      </c>
    </row>
    <row r="79" spans="1:14" x14ac:dyDescent="0.3">
      <c r="A79" t="s">
        <v>30</v>
      </c>
      <c r="B79">
        <v>2023</v>
      </c>
      <c r="C79" t="s">
        <v>91</v>
      </c>
      <c r="D79" s="6" t="s">
        <v>422</v>
      </c>
      <c r="E79" s="7">
        <f t="shared" si="1"/>
        <v>846000000</v>
      </c>
      <c r="F79" t="s">
        <v>156</v>
      </c>
      <c r="G79" t="s">
        <v>59</v>
      </c>
      <c r="H79" t="s">
        <v>524</v>
      </c>
      <c r="I7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654000000</v>
      </c>
      <c r="J79" t="s">
        <v>121</v>
      </c>
      <c r="K79" t="s">
        <v>75</v>
      </c>
      <c r="L79" t="s">
        <v>525</v>
      </c>
      <c r="M7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401000000</v>
      </c>
      <c r="N79" t="s">
        <v>131</v>
      </c>
    </row>
    <row r="80" spans="1:14" x14ac:dyDescent="0.3">
      <c r="A80" t="s">
        <v>31</v>
      </c>
      <c r="B80">
        <v>2021</v>
      </c>
      <c r="C80" t="s">
        <v>94</v>
      </c>
      <c r="D80" s="6" t="s">
        <v>526</v>
      </c>
      <c r="E80" s="7">
        <f t="shared" si="1"/>
        <v>30100000</v>
      </c>
      <c r="F80" t="s">
        <v>50</v>
      </c>
      <c r="G80" t="s">
        <v>64</v>
      </c>
      <c r="H80" t="s">
        <v>527</v>
      </c>
      <c r="I8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27500000</v>
      </c>
      <c r="J80" t="s">
        <v>50</v>
      </c>
      <c r="K80" t="s">
        <v>62</v>
      </c>
      <c r="L80" t="s">
        <v>374</v>
      </c>
      <c r="M8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18100000</v>
      </c>
      <c r="N80" t="s">
        <v>50</v>
      </c>
    </row>
    <row r="81" spans="1:14" x14ac:dyDescent="0.3">
      <c r="A81" t="s">
        <v>31</v>
      </c>
      <c r="B81">
        <v>2022</v>
      </c>
      <c r="C81" t="s">
        <v>94</v>
      </c>
      <c r="D81" s="6" t="s">
        <v>528</v>
      </c>
      <c r="E81" s="7">
        <f t="shared" si="1"/>
        <v>37600000</v>
      </c>
      <c r="F81" t="s">
        <v>50</v>
      </c>
      <c r="G81" t="s">
        <v>64</v>
      </c>
      <c r="H81" t="s">
        <v>529</v>
      </c>
      <c r="I8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34400000</v>
      </c>
      <c r="J81" t="s">
        <v>50</v>
      </c>
      <c r="K81" t="s">
        <v>59</v>
      </c>
      <c r="L81" t="s">
        <v>526</v>
      </c>
      <c r="M8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30100000</v>
      </c>
      <c r="N81" t="s">
        <v>50</v>
      </c>
    </row>
    <row r="82" spans="1:14" x14ac:dyDescent="0.3">
      <c r="A82" t="s">
        <v>31</v>
      </c>
      <c r="B82">
        <v>2023</v>
      </c>
      <c r="C82" t="s">
        <v>94</v>
      </c>
      <c r="D82" s="6" t="s">
        <v>345</v>
      </c>
      <c r="E82" s="7">
        <f t="shared" si="1"/>
        <v>40100000</v>
      </c>
      <c r="F82" t="s">
        <v>50</v>
      </c>
      <c r="G82" t="s">
        <v>64</v>
      </c>
      <c r="H82" t="s">
        <v>393</v>
      </c>
      <c r="I8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24900000</v>
      </c>
      <c r="J82" t="s">
        <v>50</v>
      </c>
      <c r="K82" t="s">
        <v>62</v>
      </c>
      <c r="L82" t="s">
        <v>402</v>
      </c>
      <c r="M8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20400000</v>
      </c>
      <c r="N82" t="s">
        <v>50</v>
      </c>
    </row>
    <row r="83" spans="1:14" x14ac:dyDescent="0.3">
      <c r="A83" t="s">
        <v>32</v>
      </c>
      <c r="B83">
        <v>2021</v>
      </c>
      <c r="C83" t="s">
        <v>65</v>
      </c>
      <c r="D83" s="6" t="s">
        <v>530</v>
      </c>
      <c r="E83" s="7">
        <f t="shared" si="1"/>
        <v>196000000</v>
      </c>
      <c r="F83" t="s">
        <v>164</v>
      </c>
      <c r="G83" t="s">
        <v>64</v>
      </c>
      <c r="H83" t="s">
        <v>531</v>
      </c>
      <c r="I8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40400000</v>
      </c>
      <c r="J83" t="s">
        <v>165</v>
      </c>
      <c r="K83" t="s">
        <v>78</v>
      </c>
      <c r="L83" t="s">
        <v>532</v>
      </c>
      <c r="M8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26900000</v>
      </c>
      <c r="N83" t="s">
        <v>28</v>
      </c>
    </row>
    <row r="84" spans="1:14" x14ac:dyDescent="0.3">
      <c r="A84" t="s">
        <v>32</v>
      </c>
      <c r="B84">
        <v>2022</v>
      </c>
      <c r="C84" t="s">
        <v>65</v>
      </c>
      <c r="D84" s="6" t="s">
        <v>533</v>
      </c>
      <c r="E84" s="7">
        <f t="shared" si="1"/>
        <v>197000000</v>
      </c>
      <c r="F84" t="s">
        <v>164</v>
      </c>
      <c r="G84" t="s">
        <v>64</v>
      </c>
      <c r="H84" t="s">
        <v>448</v>
      </c>
      <c r="I8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39300000</v>
      </c>
      <c r="J84" t="s">
        <v>165</v>
      </c>
      <c r="K84" t="s">
        <v>78</v>
      </c>
      <c r="L84" t="s">
        <v>534</v>
      </c>
      <c r="M8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23300000</v>
      </c>
      <c r="N84" t="s">
        <v>37</v>
      </c>
    </row>
    <row r="85" spans="1:14" x14ac:dyDescent="0.3">
      <c r="A85" t="s">
        <v>32</v>
      </c>
      <c r="B85">
        <v>2023</v>
      </c>
      <c r="C85" t="s">
        <v>65</v>
      </c>
      <c r="D85" s="6" t="s">
        <v>535</v>
      </c>
      <c r="E85" s="7">
        <f t="shared" si="1"/>
        <v>218000000</v>
      </c>
      <c r="F85" t="s">
        <v>164</v>
      </c>
      <c r="G85" t="s">
        <v>64</v>
      </c>
      <c r="H85" t="s">
        <v>536</v>
      </c>
      <c r="I8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44100000</v>
      </c>
      <c r="J85" t="s">
        <v>165</v>
      </c>
      <c r="K85" t="s">
        <v>78</v>
      </c>
      <c r="L85" t="s">
        <v>537</v>
      </c>
      <c r="M8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28200000</v>
      </c>
      <c r="N85" t="s">
        <v>37</v>
      </c>
    </row>
    <row r="86" spans="1:14" x14ac:dyDescent="0.3">
      <c r="A86" t="s">
        <v>33</v>
      </c>
      <c r="B86">
        <v>2021</v>
      </c>
      <c r="C86" t="s">
        <v>59</v>
      </c>
      <c r="D86" s="6" t="s">
        <v>497</v>
      </c>
      <c r="E86" s="7">
        <f t="shared" si="1"/>
        <v>353000000</v>
      </c>
      <c r="F86" t="s">
        <v>157</v>
      </c>
      <c r="G86" t="s">
        <v>95</v>
      </c>
      <c r="H86" t="s">
        <v>538</v>
      </c>
      <c r="I8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224000000</v>
      </c>
      <c r="J86" t="s">
        <v>121</v>
      </c>
      <c r="K86" t="s">
        <v>60</v>
      </c>
      <c r="L86" t="s">
        <v>539</v>
      </c>
      <c r="M8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223000000</v>
      </c>
      <c r="N86" t="s">
        <v>138</v>
      </c>
    </row>
    <row r="87" spans="1:14" x14ac:dyDescent="0.3">
      <c r="A87" t="s">
        <v>33</v>
      </c>
      <c r="B87">
        <v>2022</v>
      </c>
      <c r="C87" t="s">
        <v>96</v>
      </c>
      <c r="D87" s="6" t="s">
        <v>540</v>
      </c>
      <c r="E87" s="7">
        <f t="shared" si="1"/>
        <v>213000000</v>
      </c>
      <c r="F87" t="s">
        <v>164</v>
      </c>
      <c r="G87" t="s">
        <v>64</v>
      </c>
      <c r="H87" t="s">
        <v>541</v>
      </c>
      <c r="I8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201000000</v>
      </c>
      <c r="J87" t="s">
        <v>131</v>
      </c>
      <c r="K87" t="s">
        <v>60</v>
      </c>
      <c r="L87" t="s">
        <v>542</v>
      </c>
      <c r="M8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179000000</v>
      </c>
      <c r="N87" t="s">
        <v>166</v>
      </c>
    </row>
    <row r="88" spans="1:14" x14ac:dyDescent="0.3">
      <c r="A88" t="s">
        <v>33</v>
      </c>
      <c r="B88">
        <v>2023</v>
      </c>
      <c r="C88" t="s">
        <v>96</v>
      </c>
      <c r="D88" s="6" t="s">
        <v>543</v>
      </c>
      <c r="E88" s="7">
        <f t="shared" si="1"/>
        <v>252000000</v>
      </c>
      <c r="F88" t="s">
        <v>164</v>
      </c>
      <c r="G88" t="s">
        <v>60</v>
      </c>
      <c r="H88" t="s">
        <v>544</v>
      </c>
      <c r="I8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208000000</v>
      </c>
      <c r="J88" t="s">
        <v>143</v>
      </c>
      <c r="K88" t="s">
        <v>97</v>
      </c>
      <c r="L88" t="s">
        <v>545</v>
      </c>
      <c r="M8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172000000</v>
      </c>
      <c r="N88" t="s">
        <v>137</v>
      </c>
    </row>
    <row r="89" spans="1:14" x14ac:dyDescent="0.3">
      <c r="A89" t="s">
        <v>34</v>
      </c>
      <c r="B89">
        <v>2021</v>
      </c>
      <c r="C89" t="s">
        <v>65</v>
      </c>
      <c r="D89" s="6" t="s">
        <v>432</v>
      </c>
      <c r="E89" s="7">
        <f t="shared" si="1"/>
        <v>271000000</v>
      </c>
      <c r="F89" t="s">
        <v>126</v>
      </c>
      <c r="G89" t="s">
        <v>84</v>
      </c>
      <c r="H89" t="s">
        <v>546</v>
      </c>
      <c r="I8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115000000</v>
      </c>
      <c r="J89" t="s">
        <v>121</v>
      </c>
      <c r="K89" t="s">
        <v>59</v>
      </c>
      <c r="L89" t="s">
        <v>547</v>
      </c>
      <c r="M8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97900000</v>
      </c>
      <c r="N89" t="s">
        <v>148</v>
      </c>
    </row>
    <row r="90" spans="1:14" x14ac:dyDescent="0.3">
      <c r="A90" t="s">
        <v>34</v>
      </c>
      <c r="B90">
        <v>2022</v>
      </c>
      <c r="C90" t="s">
        <v>65</v>
      </c>
      <c r="D90" s="6" t="s">
        <v>510</v>
      </c>
      <c r="E90" s="7">
        <f t="shared" si="1"/>
        <v>336000000</v>
      </c>
      <c r="F90" t="s">
        <v>126</v>
      </c>
      <c r="G90" t="s">
        <v>84</v>
      </c>
      <c r="H90" t="s">
        <v>548</v>
      </c>
      <c r="I9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168000000</v>
      </c>
      <c r="J90" t="s">
        <v>120</v>
      </c>
      <c r="K90" t="s">
        <v>59</v>
      </c>
      <c r="L90" t="s">
        <v>478</v>
      </c>
      <c r="M9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106000000</v>
      </c>
      <c r="N90" t="s">
        <v>148</v>
      </c>
    </row>
    <row r="91" spans="1:14" x14ac:dyDescent="0.3">
      <c r="A91" t="s">
        <v>34</v>
      </c>
      <c r="B91">
        <v>2023</v>
      </c>
      <c r="C91" t="s">
        <v>65</v>
      </c>
      <c r="D91" s="6" t="s">
        <v>539</v>
      </c>
      <c r="E91" s="7">
        <f t="shared" si="1"/>
        <v>223000000</v>
      </c>
      <c r="F91" t="s">
        <v>126</v>
      </c>
      <c r="G91" t="s">
        <v>59</v>
      </c>
      <c r="H91" t="s">
        <v>549</v>
      </c>
      <c r="I9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119000000</v>
      </c>
      <c r="J91" t="s">
        <v>140</v>
      </c>
      <c r="K91" t="s">
        <v>84</v>
      </c>
      <c r="L91" t="s">
        <v>550</v>
      </c>
      <c r="M9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118000000</v>
      </c>
      <c r="N91" t="s">
        <v>148</v>
      </c>
    </row>
    <row r="92" spans="1:14" x14ac:dyDescent="0.3">
      <c r="A92" t="s">
        <v>35</v>
      </c>
      <c r="B92">
        <v>2021</v>
      </c>
      <c r="C92" t="s">
        <v>59</v>
      </c>
      <c r="D92" s="6" t="s">
        <v>551</v>
      </c>
      <c r="E92" s="7">
        <f t="shared" si="1"/>
        <v>73000000</v>
      </c>
      <c r="F92" t="s">
        <v>159</v>
      </c>
      <c r="G92" t="s">
        <v>84</v>
      </c>
      <c r="H92" t="s">
        <v>552</v>
      </c>
      <c r="I9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43800000</v>
      </c>
      <c r="J92" t="s">
        <v>148</v>
      </c>
      <c r="K92" t="s">
        <v>93</v>
      </c>
      <c r="L92" t="s">
        <v>553</v>
      </c>
      <c r="M9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14000000</v>
      </c>
      <c r="N92" t="s">
        <v>120</v>
      </c>
    </row>
    <row r="93" spans="1:14" x14ac:dyDescent="0.3">
      <c r="A93" t="s">
        <v>35</v>
      </c>
      <c r="B93">
        <v>2022</v>
      </c>
      <c r="C93" t="s">
        <v>84</v>
      </c>
      <c r="D93" s="6" t="s">
        <v>554</v>
      </c>
      <c r="E93" s="7">
        <f t="shared" si="1"/>
        <v>42400000</v>
      </c>
      <c r="F93" t="s">
        <v>120</v>
      </c>
      <c r="G93" t="s">
        <v>59</v>
      </c>
      <c r="H93" t="s">
        <v>555</v>
      </c>
      <c r="I9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22600000</v>
      </c>
      <c r="J93" t="s">
        <v>148</v>
      </c>
      <c r="K93" t="s">
        <v>98</v>
      </c>
      <c r="L93" t="s">
        <v>556</v>
      </c>
      <c r="M9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8800000</v>
      </c>
      <c r="N93" t="s">
        <v>136</v>
      </c>
    </row>
    <row r="94" spans="1:14" x14ac:dyDescent="0.3">
      <c r="A94" t="s">
        <v>35</v>
      </c>
      <c r="B94">
        <v>2023</v>
      </c>
      <c r="C94" t="s">
        <v>84</v>
      </c>
      <c r="D94" s="6" t="s">
        <v>557</v>
      </c>
      <c r="E94" s="7">
        <f t="shared" si="1"/>
        <v>44000000</v>
      </c>
      <c r="F94" t="s">
        <v>121</v>
      </c>
      <c r="G94" t="s">
        <v>59</v>
      </c>
      <c r="H94" t="s">
        <v>558</v>
      </c>
      <c r="I9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35100000</v>
      </c>
      <c r="J94" t="s">
        <v>148</v>
      </c>
      <c r="K94" t="s">
        <v>62</v>
      </c>
      <c r="L94" t="s">
        <v>392</v>
      </c>
      <c r="M9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14200000</v>
      </c>
      <c r="N94" t="s">
        <v>167</v>
      </c>
    </row>
    <row r="95" spans="1:14" x14ac:dyDescent="0.3">
      <c r="A95" t="s">
        <v>36</v>
      </c>
      <c r="B95">
        <v>2021</v>
      </c>
      <c r="C95" t="s">
        <v>99</v>
      </c>
      <c r="D95" s="6" t="s">
        <v>550</v>
      </c>
      <c r="E95" s="7">
        <f t="shared" si="1"/>
        <v>118000000</v>
      </c>
      <c r="F95" t="s">
        <v>142</v>
      </c>
      <c r="G95" t="s">
        <v>59</v>
      </c>
      <c r="H95" t="s">
        <v>559</v>
      </c>
      <c r="I9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81500000</v>
      </c>
      <c r="J95" t="s">
        <v>119</v>
      </c>
      <c r="K95" t="s">
        <v>84</v>
      </c>
      <c r="L95" t="s">
        <v>560</v>
      </c>
      <c r="M9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81300000</v>
      </c>
      <c r="N95" t="s">
        <v>168</v>
      </c>
    </row>
    <row r="96" spans="1:14" x14ac:dyDescent="0.3">
      <c r="A96" t="s">
        <v>36</v>
      </c>
      <c r="B96">
        <v>2022</v>
      </c>
      <c r="C96" t="s">
        <v>99</v>
      </c>
      <c r="D96" s="6" t="s">
        <v>352</v>
      </c>
      <c r="E96" s="7">
        <f t="shared" si="1"/>
        <v>151000000</v>
      </c>
      <c r="F96" t="s">
        <v>142</v>
      </c>
      <c r="G96" t="s">
        <v>59</v>
      </c>
      <c r="H96" t="s">
        <v>561</v>
      </c>
      <c r="I9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102000000</v>
      </c>
      <c r="J96" t="s">
        <v>119</v>
      </c>
      <c r="K96" t="s">
        <v>100</v>
      </c>
      <c r="L96" t="s">
        <v>562</v>
      </c>
      <c r="M9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1700000</v>
      </c>
      <c r="N96" t="s">
        <v>46</v>
      </c>
    </row>
    <row r="97" spans="1:14" x14ac:dyDescent="0.3">
      <c r="A97" t="s">
        <v>36</v>
      </c>
      <c r="B97">
        <v>2023</v>
      </c>
      <c r="C97" t="s">
        <v>84</v>
      </c>
      <c r="D97" s="6" t="s">
        <v>563</v>
      </c>
      <c r="E97" s="7">
        <f t="shared" si="1"/>
        <v>91800000</v>
      </c>
      <c r="F97" t="s">
        <v>168</v>
      </c>
      <c r="G97" t="s">
        <v>101</v>
      </c>
      <c r="H97" t="s">
        <v>564</v>
      </c>
      <c r="I9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89500000</v>
      </c>
      <c r="J97" t="s">
        <v>46</v>
      </c>
      <c r="K97" t="s">
        <v>98</v>
      </c>
      <c r="L97" t="s">
        <v>564</v>
      </c>
      <c r="M9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89500000</v>
      </c>
      <c r="N97" t="s">
        <v>142</v>
      </c>
    </row>
    <row r="98" spans="1:14" x14ac:dyDescent="0.3">
      <c r="A98" t="s">
        <v>37</v>
      </c>
      <c r="B98">
        <v>2021</v>
      </c>
      <c r="C98" t="s">
        <v>59</v>
      </c>
      <c r="D98" s="6" t="s">
        <v>565</v>
      </c>
      <c r="E98" s="7">
        <f t="shared" si="1"/>
        <v>183000000</v>
      </c>
      <c r="F98" t="s">
        <v>157</v>
      </c>
      <c r="G98" t="s">
        <v>91</v>
      </c>
      <c r="H98" t="s">
        <v>566</v>
      </c>
      <c r="I9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157000000</v>
      </c>
      <c r="J98" t="s">
        <v>150</v>
      </c>
      <c r="K98" t="s">
        <v>102</v>
      </c>
      <c r="L98" t="s">
        <v>567</v>
      </c>
      <c r="M9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143000000</v>
      </c>
      <c r="N98" t="s">
        <v>150</v>
      </c>
    </row>
    <row r="99" spans="1:14" x14ac:dyDescent="0.3">
      <c r="A99" t="s">
        <v>37</v>
      </c>
      <c r="B99">
        <v>2022</v>
      </c>
      <c r="C99" t="s">
        <v>59</v>
      </c>
      <c r="D99" s="6" t="s">
        <v>568</v>
      </c>
      <c r="E99" s="7">
        <f t="shared" si="1"/>
        <v>277000000</v>
      </c>
      <c r="F99" t="s">
        <v>120</v>
      </c>
      <c r="G99" t="s">
        <v>75</v>
      </c>
      <c r="H99" t="s">
        <v>539</v>
      </c>
      <c r="I9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223000000</v>
      </c>
      <c r="J99" t="s">
        <v>131</v>
      </c>
      <c r="K99" t="s">
        <v>91</v>
      </c>
      <c r="L99" t="s">
        <v>356</v>
      </c>
      <c r="M9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154000000</v>
      </c>
      <c r="N99" t="s">
        <v>150</v>
      </c>
    </row>
    <row r="100" spans="1:14" x14ac:dyDescent="0.3">
      <c r="A100" t="s">
        <v>37</v>
      </c>
      <c r="B100">
        <v>2023</v>
      </c>
      <c r="C100" t="s">
        <v>75</v>
      </c>
      <c r="D100" s="6" t="s">
        <v>569</v>
      </c>
      <c r="E100" s="7">
        <f t="shared" si="1"/>
        <v>278000000</v>
      </c>
      <c r="F100" t="s">
        <v>169</v>
      </c>
      <c r="G100" t="s">
        <v>91</v>
      </c>
      <c r="H100" t="s">
        <v>570</v>
      </c>
      <c r="I10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222000000</v>
      </c>
      <c r="J100" t="s">
        <v>150</v>
      </c>
      <c r="K100" t="s">
        <v>59</v>
      </c>
      <c r="L100" t="s">
        <v>571</v>
      </c>
      <c r="M10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209000000</v>
      </c>
      <c r="N100" t="s">
        <v>119</v>
      </c>
    </row>
    <row r="101" spans="1:14" x14ac:dyDescent="0.3">
      <c r="A101" t="s">
        <v>38</v>
      </c>
      <c r="B101">
        <v>2021</v>
      </c>
      <c r="C101" t="s">
        <v>78</v>
      </c>
      <c r="D101" s="6" t="s">
        <v>572</v>
      </c>
      <c r="E101" s="7">
        <f t="shared" si="1"/>
        <v>199000000</v>
      </c>
      <c r="F101" t="s">
        <v>47</v>
      </c>
      <c r="G101" t="s">
        <v>60</v>
      </c>
      <c r="H101" t="s">
        <v>573</v>
      </c>
      <c r="I10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61800000</v>
      </c>
      <c r="J101" t="s">
        <v>123</v>
      </c>
      <c r="K101" t="s">
        <v>59</v>
      </c>
      <c r="L101" t="s">
        <v>574</v>
      </c>
      <c r="M10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48000000</v>
      </c>
      <c r="N101" t="s">
        <v>119</v>
      </c>
    </row>
    <row r="102" spans="1:14" x14ac:dyDescent="0.3">
      <c r="A102" t="s">
        <v>38</v>
      </c>
      <c r="B102">
        <v>2022</v>
      </c>
      <c r="C102" t="s">
        <v>78</v>
      </c>
      <c r="D102" s="6" t="s">
        <v>535</v>
      </c>
      <c r="E102" s="7">
        <f t="shared" si="1"/>
        <v>218000000</v>
      </c>
      <c r="F102" t="s">
        <v>47</v>
      </c>
      <c r="G102" t="s">
        <v>60</v>
      </c>
      <c r="H102" t="s">
        <v>575</v>
      </c>
      <c r="I10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84800000</v>
      </c>
      <c r="J102" t="s">
        <v>123</v>
      </c>
      <c r="K102" t="s">
        <v>65</v>
      </c>
      <c r="L102" t="s">
        <v>576</v>
      </c>
      <c r="M10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55000000</v>
      </c>
      <c r="N102" t="s">
        <v>126</v>
      </c>
    </row>
    <row r="103" spans="1:14" x14ac:dyDescent="0.3">
      <c r="A103" t="s">
        <v>38</v>
      </c>
      <c r="B103">
        <v>2023</v>
      </c>
      <c r="C103" t="s">
        <v>78</v>
      </c>
      <c r="D103" s="6" t="s">
        <v>577</v>
      </c>
      <c r="E103" s="7">
        <f t="shared" si="1"/>
        <v>228000000</v>
      </c>
      <c r="F103" t="s">
        <v>47</v>
      </c>
      <c r="G103" t="s">
        <v>75</v>
      </c>
      <c r="H103" t="s">
        <v>578</v>
      </c>
      <c r="I10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71600000</v>
      </c>
      <c r="J103" t="s">
        <v>131</v>
      </c>
      <c r="K103" t="s">
        <v>60</v>
      </c>
      <c r="L103" t="s">
        <v>579</v>
      </c>
      <c r="M10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65200000</v>
      </c>
      <c r="N103" t="s">
        <v>123</v>
      </c>
    </row>
    <row r="104" spans="1:14" x14ac:dyDescent="0.3">
      <c r="A104" t="s">
        <v>39</v>
      </c>
      <c r="B104">
        <v>2021</v>
      </c>
      <c r="C104" t="s">
        <v>59</v>
      </c>
      <c r="D104" s="6" t="s">
        <v>580</v>
      </c>
      <c r="E104" s="7">
        <f t="shared" si="1"/>
        <v>1510000000</v>
      </c>
      <c r="F104" t="s">
        <v>119</v>
      </c>
      <c r="G104" t="s">
        <v>93</v>
      </c>
      <c r="H104" t="s">
        <v>581</v>
      </c>
      <c r="I10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586000000</v>
      </c>
      <c r="J104" t="s">
        <v>120</v>
      </c>
      <c r="K104" t="s">
        <v>62</v>
      </c>
      <c r="L104" t="s">
        <v>582</v>
      </c>
      <c r="M10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566000000</v>
      </c>
      <c r="N104" t="s">
        <v>170</v>
      </c>
    </row>
    <row r="105" spans="1:14" x14ac:dyDescent="0.3">
      <c r="A105" t="s">
        <v>39</v>
      </c>
      <c r="B105">
        <v>2022</v>
      </c>
      <c r="C105" t="s">
        <v>59</v>
      </c>
      <c r="D105" s="6" t="s">
        <v>583</v>
      </c>
      <c r="E105" s="7">
        <f t="shared" si="1"/>
        <v>2410000000</v>
      </c>
      <c r="F105" t="s">
        <v>119</v>
      </c>
      <c r="G105" t="s">
        <v>103</v>
      </c>
      <c r="H105" t="s">
        <v>584</v>
      </c>
      <c r="I10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733000000</v>
      </c>
      <c r="J105" t="s">
        <v>120</v>
      </c>
      <c r="K105" t="s">
        <v>62</v>
      </c>
      <c r="L105" t="s">
        <v>585</v>
      </c>
      <c r="M10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634000000</v>
      </c>
      <c r="N105" t="s">
        <v>131</v>
      </c>
    </row>
    <row r="106" spans="1:14" x14ac:dyDescent="0.3">
      <c r="A106" t="s">
        <v>39</v>
      </c>
      <c r="B106">
        <v>2023</v>
      </c>
      <c r="C106" t="s">
        <v>59</v>
      </c>
      <c r="D106" s="6" t="s">
        <v>586</v>
      </c>
      <c r="E106" s="7">
        <f t="shared" si="1"/>
        <v>1840000000</v>
      </c>
      <c r="F106" t="s">
        <v>119</v>
      </c>
      <c r="G106" t="s">
        <v>103</v>
      </c>
      <c r="H106" t="s">
        <v>587</v>
      </c>
      <c r="I10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888000000</v>
      </c>
      <c r="J106" t="s">
        <v>131</v>
      </c>
      <c r="K106" t="s">
        <v>62</v>
      </c>
      <c r="L106" t="s">
        <v>588</v>
      </c>
      <c r="M10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666000000</v>
      </c>
      <c r="N106" t="s">
        <v>131</v>
      </c>
    </row>
    <row r="107" spans="1:14" x14ac:dyDescent="0.3">
      <c r="A107" t="s">
        <v>40</v>
      </c>
      <c r="B107">
        <v>2021</v>
      </c>
      <c r="C107" t="s">
        <v>84</v>
      </c>
      <c r="D107" s="6" t="s">
        <v>589</v>
      </c>
      <c r="E107" s="7">
        <f t="shared" si="1"/>
        <v>535000000</v>
      </c>
      <c r="F107" t="s">
        <v>126</v>
      </c>
      <c r="G107" t="s">
        <v>65</v>
      </c>
      <c r="H107" t="s">
        <v>590</v>
      </c>
      <c r="I10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374000000</v>
      </c>
      <c r="J107" t="s">
        <v>171</v>
      </c>
      <c r="K107" t="s">
        <v>59</v>
      </c>
      <c r="L107" t="s">
        <v>591</v>
      </c>
      <c r="M10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225000000</v>
      </c>
      <c r="N107" t="s">
        <v>148</v>
      </c>
    </row>
    <row r="108" spans="1:14" x14ac:dyDescent="0.3">
      <c r="A108" t="s">
        <v>40</v>
      </c>
      <c r="B108">
        <v>2022</v>
      </c>
      <c r="C108" t="s">
        <v>84</v>
      </c>
      <c r="D108" s="6" t="s">
        <v>592</v>
      </c>
      <c r="E108" s="7">
        <f t="shared" si="1"/>
        <v>380000000</v>
      </c>
      <c r="F108" t="s">
        <v>126</v>
      </c>
      <c r="G108" t="s">
        <v>65</v>
      </c>
      <c r="H108" t="s">
        <v>593</v>
      </c>
      <c r="I10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305000000</v>
      </c>
      <c r="J108" t="s">
        <v>171</v>
      </c>
      <c r="K108" t="s">
        <v>59</v>
      </c>
      <c r="L108" t="s">
        <v>594</v>
      </c>
      <c r="M10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270000000</v>
      </c>
      <c r="N108" t="s">
        <v>148</v>
      </c>
    </row>
    <row r="109" spans="1:14" x14ac:dyDescent="0.3">
      <c r="A109" t="s">
        <v>40</v>
      </c>
      <c r="B109">
        <v>2023</v>
      </c>
      <c r="C109" t="s">
        <v>84</v>
      </c>
      <c r="D109" s="6" t="s">
        <v>595</v>
      </c>
      <c r="E109" s="7">
        <f t="shared" si="1"/>
        <v>447000000</v>
      </c>
      <c r="F109" t="s">
        <v>126</v>
      </c>
      <c r="G109" t="s">
        <v>65</v>
      </c>
      <c r="H109" t="s">
        <v>596</v>
      </c>
      <c r="I10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338000000</v>
      </c>
      <c r="J109" t="s">
        <v>121</v>
      </c>
      <c r="K109" t="s">
        <v>59</v>
      </c>
      <c r="L109" t="s">
        <v>597</v>
      </c>
      <c r="M10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294000000</v>
      </c>
      <c r="N109" t="s">
        <v>148</v>
      </c>
    </row>
    <row r="110" spans="1:14" x14ac:dyDescent="0.3">
      <c r="A110" t="s">
        <v>41</v>
      </c>
      <c r="B110">
        <v>2021</v>
      </c>
      <c r="C110" t="s">
        <v>75</v>
      </c>
      <c r="D110" s="6" t="s">
        <v>598</v>
      </c>
      <c r="E110" s="7">
        <f t="shared" si="1"/>
        <v>67099999.999999993</v>
      </c>
      <c r="F110" t="s">
        <v>50</v>
      </c>
      <c r="G110" t="s">
        <v>59</v>
      </c>
      <c r="H110" t="s">
        <v>599</v>
      </c>
      <c r="I11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49400000</v>
      </c>
      <c r="J110" t="s">
        <v>121</v>
      </c>
      <c r="K110" t="s">
        <v>104</v>
      </c>
      <c r="L110" t="s">
        <v>600</v>
      </c>
      <c r="M11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43000000</v>
      </c>
      <c r="N110" t="s">
        <v>131</v>
      </c>
    </row>
    <row r="111" spans="1:14" x14ac:dyDescent="0.3">
      <c r="A111" t="s">
        <v>41</v>
      </c>
      <c r="B111">
        <v>2022</v>
      </c>
      <c r="C111" t="s">
        <v>75</v>
      </c>
      <c r="D111" s="6" t="s">
        <v>601</v>
      </c>
      <c r="E111" s="7">
        <f t="shared" si="1"/>
        <v>76700000</v>
      </c>
      <c r="F111" t="s">
        <v>50</v>
      </c>
      <c r="G111" t="s">
        <v>59</v>
      </c>
      <c r="H111" t="s">
        <v>602</v>
      </c>
      <c r="I11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51400000</v>
      </c>
      <c r="J111" t="s">
        <v>172</v>
      </c>
      <c r="K111" t="s">
        <v>105</v>
      </c>
      <c r="L111" t="s">
        <v>603</v>
      </c>
      <c r="M11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44600000</v>
      </c>
      <c r="N111" t="s">
        <v>50</v>
      </c>
    </row>
    <row r="112" spans="1:14" x14ac:dyDescent="0.3">
      <c r="A112" t="s">
        <v>41</v>
      </c>
      <c r="B112">
        <v>2023</v>
      </c>
      <c r="C112" t="s">
        <v>75</v>
      </c>
      <c r="D112" s="6" t="s">
        <v>604</v>
      </c>
      <c r="E112" s="7">
        <f t="shared" si="1"/>
        <v>125000000</v>
      </c>
      <c r="F112" t="s">
        <v>50</v>
      </c>
      <c r="G112" t="s">
        <v>59</v>
      </c>
      <c r="H112" t="s">
        <v>605</v>
      </c>
      <c r="I11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44300000</v>
      </c>
      <c r="J112" t="s">
        <v>165</v>
      </c>
      <c r="K112" t="s">
        <v>62</v>
      </c>
      <c r="L112" t="s">
        <v>606</v>
      </c>
      <c r="M11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41000000</v>
      </c>
      <c r="N112" t="s">
        <v>50</v>
      </c>
    </row>
    <row r="113" spans="1:14" x14ac:dyDescent="0.3">
      <c r="A113" t="s">
        <v>42</v>
      </c>
      <c r="B113">
        <v>2021</v>
      </c>
      <c r="C113" t="s">
        <v>65</v>
      </c>
      <c r="D113" s="6" t="s">
        <v>607</v>
      </c>
      <c r="E113" s="7">
        <f t="shared" si="1"/>
        <v>459000000</v>
      </c>
      <c r="F113" t="s">
        <v>126</v>
      </c>
      <c r="G113" t="s">
        <v>84</v>
      </c>
      <c r="H113" t="s">
        <v>550</v>
      </c>
      <c r="I11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118000000</v>
      </c>
      <c r="J113" t="s">
        <v>168</v>
      </c>
      <c r="K113" t="s">
        <v>98</v>
      </c>
      <c r="L113" t="s">
        <v>608</v>
      </c>
      <c r="M11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50300000</v>
      </c>
      <c r="N113" t="s">
        <v>142</v>
      </c>
    </row>
    <row r="114" spans="1:14" x14ac:dyDescent="0.3">
      <c r="A114" t="s">
        <v>42</v>
      </c>
      <c r="B114">
        <v>2022</v>
      </c>
      <c r="C114" t="s">
        <v>65</v>
      </c>
      <c r="D114" s="6" t="s">
        <v>609</v>
      </c>
      <c r="E114" s="7">
        <f t="shared" si="1"/>
        <v>534000000</v>
      </c>
      <c r="F114" t="s">
        <v>126</v>
      </c>
      <c r="G114" t="s">
        <v>84</v>
      </c>
      <c r="H114" t="s">
        <v>493</v>
      </c>
      <c r="I11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69500000</v>
      </c>
      <c r="J114" t="s">
        <v>150</v>
      </c>
      <c r="K114" t="s">
        <v>83</v>
      </c>
      <c r="L114" t="s">
        <v>610</v>
      </c>
      <c r="M11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47200000</v>
      </c>
      <c r="N114" t="s">
        <v>145</v>
      </c>
    </row>
    <row r="115" spans="1:14" x14ac:dyDescent="0.3">
      <c r="A115" t="s">
        <v>42</v>
      </c>
      <c r="B115">
        <v>2023</v>
      </c>
      <c r="C115" t="s">
        <v>65</v>
      </c>
      <c r="D115" s="6" t="s">
        <v>611</v>
      </c>
      <c r="E115" s="7">
        <f t="shared" si="1"/>
        <v>312000000</v>
      </c>
      <c r="F115" t="s">
        <v>126</v>
      </c>
      <c r="G115" t="s">
        <v>84</v>
      </c>
      <c r="H115" t="s">
        <v>612</v>
      </c>
      <c r="I11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66599999.999999993</v>
      </c>
      <c r="J115" t="s">
        <v>150</v>
      </c>
      <c r="K115" t="s">
        <v>83</v>
      </c>
      <c r="L115" t="s">
        <v>613</v>
      </c>
      <c r="M11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38400000</v>
      </c>
      <c r="N115" t="s">
        <v>145</v>
      </c>
    </row>
    <row r="116" spans="1:14" x14ac:dyDescent="0.3">
      <c r="A116" t="s">
        <v>43</v>
      </c>
      <c r="B116">
        <v>2021</v>
      </c>
      <c r="C116" t="s">
        <v>59</v>
      </c>
      <c r="D116" s="6" t="s">
        <v>614</v>
      </c>
      <c r="E116" s="7">
        <f t="shared" si="1"/>
        <v>3560000000</v>
      </c>
      <c r="F116" t="s">
        <v>173</v>
      </c>
      <c r="G116" t="s">
        <v>75</v>
      </c>
      <c r="H116" t="s">
        <v>615</v>
      </c>
      <c r="I11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625000000</v>
      </c>
      <c r="J116" t="s">
        <v>131</v>
      </c>
      <c r="K116" t="s">
        <v>78</v>
      </c>
      <c r="L116" t="s">
        <v>616</v>
      </c>
      <c r="M11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619000000</v>
      </c>
      <c r="N116" t="s">
        <v>138</v>
      </c>
    </row>
    <row r="117" spans="1:14" x14ac:dyDescent="0.3">
      <c r="A117" t="s">
        <v>43</v>
      </c>
      <c r="B117">
        <v>2022</v>
      </c>
      <c r="C117" t="s">
        <v>59</v>
      </c>
      <c r="D117" s="6" t="s">
        <v>617</v>
      </c>
      <c r="E117" s="7">
        <f t="shared" si="1"/>
        <v>3250000000</v>
      </c>
      <c r="F117" t="s">
        <v>151</v>
      </c>
      <c r="G117" t="s">
        <v>78</v>
      </c>
      <c r="H117" t="s">
        <v>618</v>
      </c>
      <c r="I11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784000000</v>
      </c>
      <c r="J117" t="s">
        <v>137</v>
      </c>
      <c r="K117" t="s">
        <v>75</v>
      </c>
      <c r="L117" t="s">
        <v>619</v>
      </c>
      <c r="M11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647000000</v>
      </c>
      <c r="N117" t="s">
        <v>131</v>
      </c>
    </row>
    <row r="118" spans="1:14" x14ac:dyDescent="0.3">
      <c r="A118" t="s">
        <v>43</v>
      </c>
      <c r="B118">
        <v>2023</v>
      </c>
      <c r="C118" t="s">
        <v>59</v>
      </c>
      <c r="D118" s="6" t="s">
        <v>620</v>
      </c>
      <c r="E118" s="7">
        <f t="shared" si="1"/>
        <v>2970000000</v>
      </c>
      <c r="F118" t="s">
        <v>140</v>
      </c>
      <c r="G118" t="s">
        <v>75</v>
      </c>
      <c r="H118" t="s">
        <v>621</v>
      </c>
      <c r="I11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747000000</v>
      </c>
      <c r="J118" t="s">
        <v>131</v>
      </c>
      <c r="K118" t="s">
        <v>78</v>
      </c>
      <c r="L118" t="s">
        <v>622</v>
      </c>
      <c r="M11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682000000</v>
      </c>
      <c r="N118" t="s">
        <v>153</v>
      </c>
    </row>
    <row r="119" spans="1:14" x14ac:dyDescent="0.3">
      <c r="A119" t="s">
        <v>44</v>
      </c>
      <c r="B119">
        <v>2021</v>
      </c>
      <c r="C119" t="s">
        <v>75</v>
      </c>
      <c r="D119" s="6" t="s">
        <v>623</v>
      </c>
      <c r="E119" s="7">
        <f t="shared" si="1"/>
        <v>152000000</v>
      </c>
      <c r="F119" t="s">
        <v>35</v>
      </c>
      <c r="G119" t="s">
        <v>91</v>
      </c>
      <c r="H119" t="s">
        <v>624</v>
      </c>
      <c r="I11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138000000</v>
      </c>
      <c r="J119" t="s">
        <v>150</v>
      </c>
      <c r="K119" t="s">
        <v>65</v>
      </c>
      <c r="L119" t="s">
        <v>625</v>
      </c>
      <c r="M11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84700000</v>
      </c>
      <c r="N119" t="s">
        <v>135</v>
      </c>
    </row>
    <row r="120" spans="1:14" x14ac:dyDescent="0.3">
      <c r="A120" t="s">
        <v>44</v>
      </c>
      <c r="B120">
        <v>2022</v>
      </c>
      <c r="C120" t="s">
        <v>91</v>
      </c>
      <c r="D120" s="6" t="s">
        <v>542</v>
      </c>
      <c r="E120" s="7">
        <f t="shared" si="1"/>
        <v>179000000</v>
      </c>
      <c r="F120" t="s">
        <v>155</v>
      </c>
      <c r="G120" t="s">
        <v>75</v>
      </c>
      <c r="H120" t="s">
        <v>626</v>
      </c>
      <c r="I12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178000000</v>
      </c>
      <c r="J120" t="s">
        <v>126</v>
      </c>
      <c r="K120" t="s">
        <v>65</v>
      </c>
      <c r="L120" t="s">
        <v>627</v>
      </c>
      <c r="M12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144000000</v>
      </c>
      <c r="N120" t="s">
        <v>146</v>
      </c>
    </row>
    <row r="121" spans="1:14" x14ac:dyDescent="0.3">
      <c r="A121" t="s">
        <v>44</v>
      </c>
      <c r="B121">
        <v>2023</v>
      </c>
      <c r="C121" t="s">
        <v>62</v>
      </c>
      <c r="D121" s="6" t="s">
        <v>350</v>
      </c>
      <c r="E121" s="7">
        <f t="shared" si="1"/>
        <v>69000000</v>
      </c>
      <c r="F121" t="s">
        <v>55</v>
      </c>
      <c r="G121" t="s">
        <v>78</v>
      </c>
      <c r="H121" t="s">
        <v>628</v>
      </c>
      <c r="I12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67500000</v>
      </c>
      <c r="J121" t="s">
        <v>127</v>
      </c>
      <c r="K121" t="s">
        <v>75</v>
      </c>
      <c r="L121" t="s">
        <v>629</v>
      </c>
      <c r="M12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57200000</v>
      </c>
      <c r="N121" t="s">
        <v>55</v>
      </c>
    </row>
    <row r="122" spans="1:14" x14ac:dyDescent="0.3">
      <c r="A122" t="s">
        <v>45</v>
      </c>
      <c r="B122">
        <v>2021</v>
      </c>
      <c r="C122" t="s">
        <v>65</v>
      </c>
      <c r="D122" s="6" t="s">
        <v>630</v>
      </c>
      <c r="E122" s="7">
        <f t="shared" si="1"/>
        <v>7940000</v>
      </c>
      <c r="F122" t="s">
        <v>133</v>
      </c>
      <c r="G122" t="s">
        <v>76</v>
      </c>
      <c r="H122" t="s">
        <v>631</v>
      </c>
      <c r="I12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4270000</v>
      </c>
      <c r="J122" t="s">
        <v>163</v>
      </c>
      <c r="K122" t="s">
        <v>63</v>
      </c>
      <c r="L122" t="s">
        <v>632</v>
      </c>
      <c r="M12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4260000</v>
      </c>
      <c r="N122" t="s">
        <v>163</v>
      </c>
    </row>
    <row r="123" spans="1:14" x14ac:dyDescent="0.3">
      <c r="A123" t="s">
        <v>45</v>
      </c>
      <c r="B123">
        <v>2022</v>
      </c>
      <c r="C123" t="s">
        <v>65</v>
      </c>
      <c r="D123" s="6" t="s">
        <v>633</v>
      </c>
      <c r="E123" s="7">
        <f t="shared" si="1"/>
        <v>7120000</v>
      </c>
      <c r="F123" t="s">
        <v>133</v>
      </c>
      <c r="G123" t="s">
        <v>85</v>
      </c>
      <c r="H123" t="s">
        <v>634</v>
      </c>
      <c r="I12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5550000</v>
      </c>
      <c r="J123" t="s">
        <v>163</v>
      </c>
      <c r="K123" t="s">
        <v>106</v>
      </c>
      <c r="L123" t="s">
        <v>635</v>
      </c>
      <c r="M12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3220000</v>
      </c>
      <c r="N123" t="s">
        <v>163</v>
      </c>
    </row>
    <row r="124" spans="1:14" x14ac:dyDescent="0.3">
      <c r="A124" t="s">
        <v>45</v>
      </c>
      <c r="B124">
        <v>2023</v>
      </c>
      <c r="C124" t="s">
        <v>65</v>
      </c>
      <c r="D124" s="6" t="s">
        <v>636</v>
      </c>
      <c r="E124" s="7">
        <f t="shared" si="1"/>
        <v>15000000</v>
      </c>
      <c r="F124" t="s">
        <v>133</v>
      </c>
      <c r="G124" t="s">
        <v>85</v>
      </c>
      <c r="H124" t="s">
        <v>637</v>
      </c>
      <c r="I12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4400000</v>
      </c>
      <c r="J124" t="s">
        <v>144</v>
      </c>
      <c r="K124" t="s">
        <v>107</v>
      </c>
      <c r="L124" t="s">
        <v>638</v>
      </c>
      <c r="M12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3900000</v>
      </c>
      <c r="N124" t="s">
        <v>163</v>
      </c>
    </row>
    <row r="125" spans="1:14" x14ac:dyDescent="0.3">
      <c r="A125" t="s">
        <v>46</v>
      </c>
      <c r="B125">
        <v>2021</v>
      </c>
      <c r="C125" t="s">
        <v>65</v>
      </c>
      <c r="D125" s="6" t="s">
        <v>639</v>
      </c>
      <c r="E125" s="7">
        <f t="shared" si="1"/>
        <v>465000000</v>
      </c>
      <c r="F125" t="s">
        <v>126</v>
      </c>
      <c r="G125" t="s">
        <v>85</v>
      </c>
      <c r="H125" t="s">
        <v>640</v>
      </c>
      <c r="I12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330000000</v>
      </c>
      <c r="J125" t="s">
        <v>121</v>
      </c>
      <c r="K125" t="s">
        <v>99</v>
      </c>
      <c r="L125" t="s">
        <v>641</v>
      </c>
      <c r="M12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202000000</v>
      </c>
      <c r="N125" t="s">
        <v>140</v>
      </c>
    </row>
    <row r="126" spans="1:14" x14ac:dyDescent="0.3">
      <c r="A126" t="s">
        <v>46</v>
      </c>
      <c r="B126">
        <v>2022</v>
      </c>
      <c r="C126" t="s">
        <v>65</v>
      </c>
      <c r="D126" s="6" t="s">
        <v>642</v>
      </c>
      <c r="E126" s="7">
        <f t="shared" si="1"/>
        <v>603000000</v>
      </c>
      <c r="F126" t="s">
        <v>126</v>
      </c>
      <c r="G126" t="s">
        <v>85</v>
      </c>
      <c r="H126" t="s">
        <v>643</v>
      </c>
      <c r="I12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417000000</v>
      </c>
      <c r="J126" t="s">
        <v>119</v>
      </c>
      <c r="K126" t="s">
        <v>99</v>
      </c>
      <c r="M12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0</v>
      </c>
      <c r="N126" t="s">
        <v>140</v>
      </c>
    </row>
    <row r="127" spans="1:14" x14ac:dyDescent="0.3">
      <c r="A127" t="s">
        <v>46</v>
      </c>
      <c r="B127">
        <v>2023</v>
      </c>
      <c r="C127" t="s">
        <v>65</v>
      </c>
      <c r="D127" s="6" t="s">
        <v>433</v>
      </c>
      <c r="E127" s="7">
        <f t="shared" si="1"/>
        <v>612000000</v>
      </c>
      <c r="F127" t="s">
        <v>164</v>
      </c>
      <c r="G127" t="s">
        <v>63</v>
      </c>
      <c r="H127" t="s">
        <v>644</v>
      </c>
      <c r="I12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340000000</v>
      </c>
      <c r="J127" t="s">
        <v>119</v>
      </c>
      <c r="K127" t="s">
        <v>98</v>
      </c>
      <c r="L127" t="s">
        <v>523</v>
      </c>
      <c r="M12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238000000</v>
      </c>
      <c r="N127" t="s">
        <v>140</v>
      </c>
    </row>
    <row r="128" spans="1:14" x14ac:dyDescent="0.3">
      <c r="A128" t="s">
        <v>47</v>
      </c>
      <c r="B128">
        <v>2021</v>
      </c>
      <c r="C128" t="s">
        <v>78</v>
      </c>
      <c r="D128" s="6" t="s">
        <v>645</v>
      </c>
      <c r="E128" s="7">
        <f t="shared" si="1"/>
        <v>139000000</v>
      </c>
      <c r="F128" t="s">
        <v>170</v>
      </c>
      <c r="G128" t="s">
        <v>90</v>
      </c>
      <c r="H128" t="s">
        <v>646</v>
      </c>
      <c r="I12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8670000</v>
      </c>
      <c r="J128" t="s">
        <v>163</v>
      </c>
      <c r="K128" t="s">
        <v>108</v>
      </c>
      <c r="L128" t="s">
        <v>647</v>
      </c>
      <c r="M12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6510000</v>
      </c>
      <c r="N128" t="s">
        <v>54</v>
      </c>
    </row>
    <row r="129" spans="1:14" x14ac:dyDescent="0.3">
      <c r="A129" t="s">
        <v>47</v>
      </c>
      <c r="B129">
        <v>2022</v>
      </c>
      <c r="C129" t="s">
        <v>78</v>
      </c>
      <c r="D129" s="6" t="s">
        <v>648</v>
      </c>
      <c r="E129" s="7">
        <f t="shared" si="1"/>
        <v>165000000</v>
      </c>
      <c r="F129" t="s">
        <v>170</v>
      </c>
      <c r="G129" t="s">
        <v>65</v>
      </c>
      <c r="H129" t="s">
        <v>649</v>
      </c>
      <c r="I12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7580000</v>
      </c>
      <c r="J129" t="s">
        <v>131</v>
      </c>
      <c r="K129" t="s">
        <v>64</v>
      </c>
      <c r="L129" t="s">
        <v>650</v>
      </c>
      <c r="M12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7070000</v>
      </c>
      <c r="N129" t="s">
        <v>126</v>
      </c>
    </row>
    <row r="130" spans="1:14" x14ac:dyDescent="0.3">
      <c r="A130" t="s">
        <v>47</v>
      </c>
      <c r="B130">
        <v>2023</v>
      </c>
      <c r="C130" t="s">
        <v>78</v>
      </c>
      <c r="D130" s="6" t="s">
        <v>346</v>
      </c>
      <c r="E130" s="7">
        <f t="shared" ref="E130:E163" si="2">IF(RIGHT(D130,1)="M",VALUE(LEFT(D130,LEN(D130)-1))*1000000,IF(RIGHT(D130,1)="B",VALUE(LEFT(D130,LEN(D130)-1))*1000000000,IF(RIGHT(D130,1)="K",VALUE(LEFT(D130,LEN(D130)-1))*1000,D130)))</f>
        <v>158000000</v>
      </c>
      <c r="F130" t="s">
        <v>170</v>
      </c>
      <c r="G130" t="s">
        <v>108</v>
      </c>
      <c r="H130" t="s">
        <v>651</v>
      </c>
      <c r="I13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11200000</v>
      </c>
      <c r="J130" t="s">
        <v>54</v>
      </c>
      <c r="K130" t="s">
        <v>64</v>
      </c>
      <c r="L130" t="s">
        <v>652</v>
      </c>
      <c r="M13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9460000</v>
      </c>
      <c r="N130" t="s">
        <v>131</v>
      </c>
    </row>
    <row r="131" spans="1:14" x14ac:dyDescent="0.3">
      <c r="A131" t="s">
        <v>48</v>
      </c>
      <c r="B131">
        <v>2021</v>
      </c>
      <c r="C131" t="s">
        <v>109</v>
      </c>
      <c r="D131" s="6" t="s">
        <v>653</v>
      </c>
      <c r="E131" s="7">
        <f t="shared" si="2"/>
        <v>130000000</v>
      </c>
      <c r="F131" t="s">
        <v>164</v>
      </c>
      <c r="G131" t="s">
        <v>64</v>
      </c>
      <c r="H131" t="s">
        <v>654</v>
      </c>
      <c r="I13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37100000</v>
      </c>
      <c r="J131" t="s">
        <v>125</v>
      </c>
      <c r="K131" t="s">
        <v>63</v>
      </c>
      <c r="L131" t="s">
        <v>655</v>
      </c>
      <c r="M13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25700000</v>
      </c>
      <c r="N131" t="s">
        <v>145</v>
      </c>
    </row>
    <row r="132" spans="1:14" x14ac:dyDescent="0.3">
      <c r="A132" t="s">
        <v>48</v>
      </c>
      <c r="B132">
        <v>2022</v>
      </c>
      <c r="C132" t="s">
        <v>109</v>
      </c>
      <c r="D132" s="6" t="s">
        <v>656</v>
      </c>
      <c r="E132" s="7">
        <f t="shared" si="2"/>
        <v>160000000</v>
      </c>
      <c r="F132" t="s">
        <v>164</v>
      </c>
      <c r="G132" t="s">
        <v>63</v>
      </c>
      <c r="H132" t="s">
        <v>657</v>
      </c>
      <c r="I13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32600000</v>
      </c>
      <c r="J132" t="s">
        <v>145</v>
      </c>
      <c r="K132" t="s">
        <v>104</v>
      </c>
      <c r="L132" t="s">
        <v>658</v>
      </c>
      <c r="M13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30400000</v>
      </c>
      <c r="N132" t="s">
        <v>125</v>
      </c>
    </row>
    <row r="133" spans="1:14" x14ac:dyDescent="0.3">
      <c r="A133" t="s">
        <v>48</v>
      </c>
      <c r="B133">
        <v>2023</v>
      </c>
      <c r="C133" t="s">
        <v>109</v>
      </c>
      <c r="D133" s="6" t="s">
        <v>659</v>
      </c>
      <c r="E133" s="7">
        <f t="shared" si="2"/>
        <v>256000000</v>
      </c>
      <c r="F133" t="s">
        <v>164</v>
      </c>
      <c r="G133" t="s">
        <v>64</v>
      </c>
      <c r="H133" t="s">
        <v>660</v>
      </c>
      <c r="I13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27800000</v>
      </c>
      <c r="J133" t="s">
        <v>125</v>
      </c>
      <c r="K133" t="s">
        <v>63</v>
      </c>
      <c r="L133" t="s">
        <v>661</v>
      </c>
      <c r="M13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19500000</v>
      </c>
      <c r="N133" t="s">
        <v>145</v>
      </c>
    </row>
    <row r="134" spans="1:14" x14ac:dyDescent="0.3">
      <c r="A134" t="s">
        <v>49</v>
      </c>
      <c r="B134">
        <v>2021</v>
      </c>
      <c r="C134" t="s">
        <v>96</v>
      </c>
      <c r="D134" s="6" t="s">
        <v>662</v>
      </c>
      <c r="E134" s="7">
        <f t="shared" si="2"/>
        <v>345000000</v>
      </c>
      <c r="F134" t="s">
        <v>164</v>
      </c>
      <c r="G134" t="s">
        <v>109</v>
      </c>
      <c r="H134" t="s">
        <v>533</v>
      </c>
      <c r="I13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197000000</v>
      </c>
      <c r="J134" t="s">
        <v>126</v>
      </c>
      <c r="K134" t="s">
        <v>110</v>
      </c>
      <c r="L134" t="s">
        <v>663</v>
      </c>
      <c r="M13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182000000</v>
      </c>
      <c r="N134" t="s">
        <v>174</v>
      </c>
    </row>
    <row r="135" spans="1:14" x14ac:dyDescent="0.3">
      <c r="A135" t="s">
        <v>49</v>
      </c>
      <c r="B135">
        <v>2022</v>
      </c>
      <c r="C135" t="s">
        <v>96</v>
      </c>
      <c r="D135" s="6" t="s">
        <v>664</v>
      </c>
      <c r="E135" s="7">
        <f t="shared" si="2"/>
        <v>421000000</v>
      </c>
      <c r="F135" t="s">
        <v>164</v>
      </c>
      <c r="G135" t="s">
        <v>110</v>
      </c>
      <c r="H135" t="s">
        <v>665</v>
      </c>
      <c r="I13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272000000</v>
      </c>
      <c r="J135" t="s">
        <v>126</v>
      </c>
      <c r="K135" t="s">
        <v>109</v>
      </c>
      <c r="L135" t="s">
        <v>666</v>
      </c>
      <c r="M13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243000000</v>
      </c>
      <c r="N135" t="s">
        <v>126</v>
      </c>
    </row>
    <row r="136" spans="1:14" x14ac:dyDescent="0.3">
      <c r="A136" t="s">
        <v>49</v>
      </c>
      <c r="B136">
        <v>2023</v>
      </c>
      <c r="C136" t="s">
        <v>96</v>
      </c>
      <c r="D136" s="6" t="s">
        <v>667</v>
      </c>
      <c r="E136" s="7">
        <f t="shared" si="2"/>
        <v>226000000</v>
      </c>
      <c r="F136" t="s">
        <v>164</v>
      </c>
      <c r="G136" t="s">
        <v>109</v>
      </c>
      <c r="H136" t="s">
        <v>667</v>
      </c>
      <c r="I13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226000000</v>
      </c>
      <c r="J136" t="s">
        <v>126</v>
      </c>
      <c r="K136" t="s">
        <v>110</v>
      </c>
      <c r="L136" t="s">
        <v>641</v>
      </c>
      <c r="M13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202000000</v>
      </c>
      <c r="N136" t="s">
        <v>148</v>
      </c>
    </row>
    <row r="137" spans="1:14" x14ac:dyDescent="0.3">
      <c r="A137" t="s">
        <v>50</v>
      </c>
      <c r="B137">
        <v>2021</v>
      </c>
      <c r="C137" t="s">
        <v>91</v>
      </c>
      <c r="D137" s="6" t="s">
        <v>668</v>
      </c>
      <c r="E137" s="7">
        <f t="shared" si="2"/>
        <v>507000000</v>
      </c>
      <c r="F137" t="s">
        <v>155</v>
      </c>
      <c r="G137" t="s">
        <v>65</v>
      </c>
      <c r="H137" t="s">
        <v>520</v>
      </c>
      <c r="I13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502000000</v>
      </c>
      <c r="J137" t="s">
        <v>141</v>
      </c>
      <c r="K137" t="s">
        <v>59</v>
      </c>
      <c r="L137" t="s">
        <v>669</v>
      </c>
      <c r="M13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457000000</v>
      </c>
      <c r="N137" t="s">
        <v>159</v>
      </c>
    </row>
    <row r="138" spans="1:14" x14ac:dyDescent="0.3">
      <c r="A138" t="s">
        <v>50</v>
      </c>
      <c r="B138">
        <v>2022</v>
      </c>
      <c r="C138" t="s">
        <v>59</v>
      </c>
      <c r="D138" s="6" t="s">
        <v>670</v>
      </c>
      <c r="E138" s="7">
        <f t="shared" si="2"/>
        <v>627000000</v>
      </c>
      <c r="F138" t="s">
        <v>159</v>
      </c>
      <c r="G138" t="s">
        <v>65</v>
      </c>
      <c r="H138" t="s">
        <v>671</v>
      </c>
      <c r="I13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477000000</v>
      </c>
      <c r="J138" t="s">
        <v>141</v>
      </c>
      <c r="K138" t="s">
        <v>64</v>
      </c>
      <c r="L138" t="s">
        <v>672</v>
      </c>
      <c r="M13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296000000</v>
      </c>
      <c r="N138" t="s">
        <v>131</v>
      </c>
    </row>
    <row r="139" spans="1:14" x14ac:dyDescent="0.3">
      <c r="A139" t="s">
        <v>50</v>
      </c>
      <c r="B139">
        <v>2023</v>
      </c>
      <c r="C139" t="s">
        <v>59</v>
      </c>
      <c r="D139" s="6" t="s">
        <v>673</v>
      </c>
      <c r="E139" s="7">
        <f t="shared" si="2"/>
        <v>621000000</v>
      </c>
      <c r="F139" t="s">
        <v>140</v>
      </c>
      <c r="G139" t="s">
        <v>65</v>
      </c>
      <c r="H139" t="s">
        <v>674</v>
      </c>
      <c r="I13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618000000</v>
      </c>
      <c r="J139" t="s">
        <v>141</v>
      </c>
      <c r="K139" t="s">
        <v>75</v>
      </c>
      <c r="L139" t="s">
        <v>675</v>
      </c>
      <c r="M13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283000000</v>
      </c>
      <c r="N139" t="s">
        <v>23</v>
      </c>
    </row>
    <row r="140" spans="1:14" x14ac:dyDescent="0.3">
      <c r="A140" t="s">
        <v>51</v>
      </c>
      <c r="B140">
        <v>2021</v>
      </c>
      <c r="C140" t="s">
        <v>111</v>
      </c>
      <c r="D140" s="6" t="s">
        <v>676</v>
      </c>
      <c r="E140" s="7">
        <f t="shared" si="2"/>
        <v>40500000</v>
      </c>
      <c r="F140" t="s">
        <v>55</v>
      </c>
      <c r="G140" t="s">
        <v>110</v>
      </c>
      <c r="H140" t="s">
        <v>677</v>
      </c>
      <c r="I14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35800000</v>
      </c>
      <c r="J140" t="s">
        <v>55</v>
      </c>
      <c r="K140" t="s">
        <v>63</v>
      </c>
      <c r="L140" t="s">
        <v>537</v>
      </c>
      <c r="M14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28200000</v>
      </c>
      <c r="N140" t="s">
        <v>55</v>
      </c>
    </row>
    <row r="141" spans="1:14" x14ac:dyDescent="0.3">
      <c r="A141" t="s">
        <v>51</v>
      </c>
      <c r="B141">
        <v>2022</v>
      </c>
      <c r="C141" t="s">
        <v>110</v>
      </c>
      <c r="D141" s="6" t="s">
        <v>678</v>
      </c>
      <c r="E141" s="7">
        <f t="shared" si="2"/>
        <v>53200000</v>
      </c>
      <c r="F141" t="s">
        <v>55</v>
      </c>
      <c r="G141" t="s">
        <v>63</v>
      </c>
      <c r="H141" t="s">
        <v>679</v>
      </c>
      <c r="I14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48900000</v>
      </c>
      <c r="J141" t="s">
        <v>55</v>
      </c>
      <c r="K141" t="s">
        <v>112</v>
      </c>
      <c r="L141" t="s">
        <v>680</v>
      </c>
      <c r="M14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46800000</v>
      </c>
      <c r="N141" t="s">
        <v>55</v>
      </c>
    </row>
    <row r="142" spans="1:14" x14ac:dyDescent="0.3">
      <c r="A142" t="s">
        <v>51</v>
      </c>
      <c r="B142">
        <v>2023</v>
      </c>
      <c r="C142" t="s">
        <v>113</v>
      </c>
      <c r="D142" s="6" t="s">
        <v>681</v>
      </c>
      <c r="E142" s="7">
        <f t="shared" si="2"/>
        <v>43700000</v>
      </c>
      <c r="F142" t="s">
        <v>55</v>
      </c>
      <c r="G142" t="s">
        <v>63</v>
      </c>
      <c r="H142" t="s">
        <v>467</v>
      </c>
      <c r="I14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42900000</v>
      </c>
      <c r="J142" t="s">
        <v>55</v>
      </c>
      <c r="K142" t="s">
        <v>114</v>
      </c>
      <c r="L142" t="s">
        <v>682</v>
      </c>
      <c r="M14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39100000</v>
      </c>
      <c r="N142" t="s">
        <v>55</v>
      </c>
    </row>
    <row r="143" spans="1:14" x14ac:dyDescent="0.3">
      <c r="A143" t="s">
        <v>52</v>
      </c>
      <c r="B143">
        <v>2021</v>
      </c>
      <c r="C143" t="s">
        <v>96</v>
      </c>
      <c r="D143" s="6" t="s">
        <v>683</v>
      </c>
      <c r="E143" s="7">
        <f t="shared" si="2"/>
        <v>889000000</v>
      </c>
      <c r="F143" t="s">
        <v>164</v>
      </c>
      <c r="G143" t="s">
        <v>63</v>
      </c>
      <c r="H143" t="s">
        <v>684</v>
      </c>
      <c r="I14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508000000</v>
      </c>
      <c r="J143" t="s">
        <v>121</v>
      </c>
      <c r="K143" t="s">
        <v>105</v>
      </c>
      <c r="L143" t="s">
        <v>337</v>
      </c>
      <c r="M14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142000000</v>
      </c>
      <c r="N143" t="s">
        <v>121</v>
      </c>
    </row>
    <row r="144" spans="1:14" x14ac:dyDescent="0.3">
      <c r="A144" t="s">
        <v>52</v>
      </c>
      <c r="B144">
        <v>2022</v>
      </c>
      <c r="C144" t="s">
        <v>96</v>
      </c>
      <c r="D144" s="6" t="s">
        <v>685</v>
      </c>
      <c r="E144" s="7">
        <f t="shared" si="2"/>
        <v>989000000</v>
      </c>
      <c r="F144" t="s">
        <v>164</v>
      </c>
      <c r="G144" t="s">
        <v>63</v>
      </c>
      <c r="H144" t="s">
        <v>686</v>
      </c>
      <c r="I14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505000000</v>
      </c>
      <c r="J144" t="s">
        <v>171</v>
      </c>
      <c r="K144" t="s">
        <v>115</v>
      </c>
      <c r="L144" t="s">
        <v>337</v>
      </c>
      <c r="M14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142000000</v>
      </c>
      <c r="N144" t="s">
        <v>174</v>
      </c>
    </row>
    <row r="145" spans="1:14" x14ac:dyDescent="0.3">
      <c r="A145" t="s">
        <v>52</v>
      </c>
      <c r="B145">
        <v>2023</v>
      </c>
      <c r="C145" t="s">
        <v>96</v>
      </c>
      <c r="D145" s="6" t="s">
        <v>687</v>
      </c>
      <c r="E145" s="7">
        <f t="shared" si="2"/>
        <v>794000000</v>
      </c>
      <c r="F145" t="s">
        <v>164</v>
      </c>
      <c r="G145" t="s">
        <v>116</v>
      </c>
      <c r="H145" t="s">
        <v>688</v>
      </c>
      <c r="I14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329000000</v>
      </c>
      <c r="J145" t="s">
        <v>20</v>
      </c>
      <c r="K145" t="s">
        <v>63</v>
      </c>
      <c r="L145" t="s">
        <v>689</v>
      </c>
      <c r="M14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121000000</v>
      </c>
      <c r="N145" t="s">
        <v>122</v>
      </c>
    </row>
    <row r="146" spans="1:14" x14ac:dyDescent="0.3">
      <c r="A146" t="s">
        <v>53</v>
      </c>
      <c r="B146">
        <v>2021</v>
      </c>
      <c r="C146" t="s">
        <v>110</v>
      </c>
      <c r="D146" s="6" t="s">
        <v>690</v>
      </c>
      <c r="E146" s="7">
        <f t="shared" si="2"/>
        <v>333000000</v>
      </c>
      <c r="F146" t="s">
        <v>155</v>
      </c>
      <c r="G146" t="s">
        <v>109</v>
      </c>
      <c r="H146" t="s">
        <v>691</v>
      </c>
      <c r="I14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233000000</v>
      </c>
      <c r="J146" t="s">
        <v>126</v>
      </c>
      <c r="K146" t="s">
        <v>75</v>
      </c>
      <c r="L146" t="s">
        <v>478</v>
      </c>
      <c r="M14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106000000</v>
      </c>
      <c r="N146" t="s">
        <v>131</v>
      </c>
    </row>
    <row r="147" spans="1:14" x14ac:dyDescent="0.3">
      <c r="A147" t="s">
        <v>53</v>
      </c>
      <c r="B147">
        <v>2022</v>
      </c>
      <c r="C147" t="s">
        <v>110</v>
      </c>
      <c r="D147" s="6" t="s">
        <v>692</v>
      </c>
      <c r="E147" s="7">
        <f t="shared" si="2"/>
        <v>346000000</v>
      </c>
      <c r="F147" t="s">
        <v>155</v>
      </c>
      <c r="G147" t="s">
        <v>65</v>
      </c>
      <c r="H147" t="s">
        <v>502</v>
      </c>
      <c r="I14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298000000</v>
      </c>
      <c r="J147" t="s">
        <v>126</v>
      </c>
      <c r="K147" t="s">
        <v>75</v>
      </c>
      <c r="L147" t="s">
        <v>604</v>
      </c>
      <c r="M14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125000000</v>
      </c>
      <c r="N147" t="s">
        <v>131</v>
      </c>
    </row>
    <row r="148" spans="1:14" x14ac:dyDescent="0.3">
      <c r="A148" t="s">
        <v>53</v>
      </c>
      <c r="B148">
        <v>2023</v>
      </c>
      <c r="C148" t="s">
        <v>65</v>
      </c>
      <c r="D148" s="6" t="s">
        <v>693</v>
      </c>
      <c r="E148" s="7">
        <f t="shared" si="2"/>
        <v>427000000</v>
      </c>
      <c r="F148" t="s">
        <v>126</v>
      </c>
      <c r="G148" t="s">
        <v>84</v>
      </c>
      <c r="H148" t="s">
        <v>694</v>
      </c>
      <c r="I14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357000000</v>
      </c>
      <c r="J148" t="s">
        <v>148</v>
      </c>
      <c r="K148" t="s">
        <v>75</v>
      </c>
      <c r="L148" t="s">
        <v>695</v>
      </c>
      <c r="M14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153000000</v>
      </c>
      <c r="N148" t="s">
        <v>131</v>
      </c>
    </row>
    <row r="149" spans="1:14" x14ac:dyDescent="0.3">
      <c r="A149" t="s">
        <v>54</v>
      </c>
      <c r="B149">
        <v>2021</v>
      </c>
      <c r="C149" t="s">
        <v>59</v>
      </c>
      <c r="D149" s="6" t="s">
        <v>696</v>
      </c>
      <c r="E149" s="7">
        <f t="shared" si="2"/>
        <v>564000000</v>
      </c>
      <c r="F149" t="s">
        <v>157</v>
      </c>
      <c r="G149" t="s">
        <v>67</v>
      </c>
      <c r="H149" t="s">
        <v>376</v>
      </c>
      <c r="I14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299000000</v>
      </c>
      <c r="J149" t="s">
        <v>125</v>
      </c>
      <c r="K149" t="s">
        <v>95</v>
      </c>
      <c r="L149" t="s">
        <v>697</v>
      </c>
      <c r="M14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275000000</v>
      </c>
      <c r="N149" t="s">
        <v>121</v>
      </c>
    </row>
    <row r="150" spans="1:14" x14ac:dyDescent="0.3">
      <c r="A150" t="s">
        <v>54</v>
      </c>
      <c r="B150">
        <v>2022</v>
      </c>
      <c r="C150" t="s">
        <v>63</v>
      </c>
      <c r="D150" s="6" t="s">
        <v>698</v>
      </c>
      <c r="E150" s="7">
        <f t="shared" si="2"/>
        <v>867000000</v>
      </c>
      <c r="F150" t="s">
        <v>175</v>
      </c>
      <c r="G150" t="s">
        <v>67</v>
      </c>
      <c r="H150" t="s">
        <v>699</v>
      </c>
      <c r="I15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289000000</v>
      </c>
      <c r="J150" t="s">
        <v>125</v>
      </c>
      <c r="K150" t="s">
        <v>95</v>
      </c>
      <c r="L150" t="s">
        <v>503</v>
      </c>
      <c r="M15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257000000</v>
      </c>
      <c r="N150" t="s">
        <v>176</v>
      </c>
    </row>
    <row r="151" spans="1:14" x14ac:dyDescent="0.3">
      <c r="A151" t="s">
        <v>54</v>
      </c>
      <c r="B151">
        <v>2023</v>
      </c>
      <c r="C151" t="s">
        <v>63</v>
      </c>
      <c r="D151" s="6" t="s">
        <v>700</v>
      </c>
      <c r="E151" s="7">
        <f t="shared" si="2"/>
        <v>628000000</v>
      </c>
      <c r="F151" t="s">
        <v>121</v>
      </c>
      <c r="G151" t="s">
        <v>117</v>
      </c>
      <c r="H151" t="s">
        <v>701</v>
      </c>
      <c r="I15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411000000</v>
      </c>
      <c r="J151" t="s">
        <v>121</v>
      </c>
      <c r="K151" t="s">
        <v>69</v>
      </c>
      <c r="L151" t="s">
        <v>702</v>
      </c>
      <c r="M15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318000000</v>
      </c>
      <c r="N151" t="s">
        <v>131</v>
      </c>
    </row>
    <row r="152" spans="1:14" x14ac:dyDescent="0.3">
      <c r="A152" t="s">
        <v>55</v>
      </c>
      <c r="B152">
        <v>2021</v>
      </c>
      <c r="C152" t="s">
        <v>110</v>
      </c>
      <c r="D152" s="6" t="s">
        <v>510</v>
      </c>
      <c r="E152" s="7">
        <f t="shared" si="2"/>
        <v>336000000</v>
      </c>
      <c r="F152" t="s">
        <v>148</v>
      </c>
      <c r="G152" t="s">
        <v>63</v>
      </c>
      <c r="H152" t="s">
        <v>703</v>
      </c>
      <c r="I15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237000000</v>
      </c>
      <c r="J152" t="s">
        <v>121</v>
      </c>
      <c r="K152" t="s">
        <v>109</v>
      </c>
      <c r="L152" t="s">
        <v>604</v>
      </c>
      <c r="M15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125000000</v>
      </c>
      <c r="N152" t="s">
        <v>135</v>
      </c>
    </row>
    <row r="153" spans="1:14" x14ac:dyDescent="0.3">
      <c r="A153" t="s">
        <v>55</v>
      </c>
      <c r="B153">
        <v>2022</v>
      </c>
      <c r="C153" t="s">
        <v>110</v>
      </c>
      <c r="D153" s="6" t="s">
        <v>704</v>
      </c>
      <c r="E153" s="7">
        <f t="shared" si="2"/>
        <v>376000000</v>
      </c>
      <c r="F153" t="s">
        <v>148</v>
      </c>
      <c r="G153" t="s">
        <v>63</v>
      </c>
      <c r="H153" t="s">
        <v>705</v>
      </c>
      <c r="I15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203000000</v>
      </c>
      <c r="J153" t="s">
        <v>121</v>
      </c>
      <c r="K153" t="s">
        <v>109</v>
      </c>
      <c r="L153" t="s">
        <v>706</v>
      </c>
      <c r="M15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146000000</v>
      </c>
      <c r="N153" t="s">
        <v>135</v>
      </c>
    </row>
    <row r="154" spans="1:14" x14ac:dyDescent="0.3">
      <c r="A154" t="s">
        <v>55</v>
      </c>
      <c r="B154">
        <v>2023</v>
      </c>
      <c r="C154" t="s">
        <v>110</v>
      </c>
      <c r="D154" s="6" t="s">
        <v>510</v>
      </c>
      <c r="E154" s="7">
        <f t="shared" si="2"/>
        <v>336000000</v>
      </c>
      <c r="F154" t="s">
        <v>148</v>
      </c>
      <c r="G154" t="s">
        <v>63</v>
      </c>
      <c r="H154" t="s">
        <v>703</v>
      </c>
      <c r="I154"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237000000</v>
      </c>
      <c r="J154" t="s">
        <v>121</v>
      </c>
      <c r="K154" t="s">
        <v>109</v>
      </c>
      <c r="L154" t="s">
        <v>604</v>
      </c>
      <c r="M154"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125000000</v>
      </c>
      <c r="N154" t="s">
        <v>135</v>
      </c>
    </row>
    <row r="155" spans="1:14" x14ac:dyDescent="0.3">
      <c r="A155" t="s">
        <v>56</v>
      </c>
      <c r="B155">
        <v>2021</v>
      </c>
      <c r="C155" t="s">
        <v>91</v>
      </c>
      <c r="D155" s="6" t="s">
        <v>577</v>
      </c>
      <c r="E155" s="7">
        <f t="shared" si="2"/>
        <v>228000000</v>
      </c>
      <c r="F155" t="s">
        <v>155</v>
      </c>
      <c r="G155" t="s">
        <v>59</v>
      </c>
      <c r="H155" t="s">
        <v>641</v>
      </c>
      <c r="I155"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202000000</v>
      </c>
      <c r="J155" t="s">
        <v>121</v>
      </c>
      <c r="K155" t="s">
        <v>75</v>
      </c>
      <c r="L155" t="s">
        <v>707</v>
      </c>
      <c r="M155"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161000000</v>
      </c>
      <c r="N155" t="s">
        <v>126</v>
      </c>
    </row>
    <row r="156" spans="1:14" x14ac:dyDescent="0.3">
      <c r="A156" t="s">
        <v>56</v>
      </c>
      <c r="B156">
        <v>2022</v>
      </c>
      <c r="C156" t="s">
        <v>59</v>
      </c>
      <c r="D156" s="6" t="s">
        <v>708</v>
      </c>
      <c r="E156" s="7">
        <f t="shared" si="2"/>
        <v>287000000</v>
      </c>
      <c r="F156" t="s">
        <v>159</v>
      </c>
      <c r="G156" t="s">
        <v>75</v>
      </c>
      <c r="H156" t="s">
        <v>709</v>
      </c>
      <c r="I156"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217000000</v>
      </c>
      <c r="J156" t="s">
        <v>126</v>
      </c>
      <c r="K156" t="s">
        <v>91</v>
      </c>
      <c r="L156" t="s">
        <v>710</v>
      </c>
      <c r="M156"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148000000</v>
      </c>
      <c r="N156" t="s">
        <v>148</v>
      </c>
    </row>
    <row r="157" spans="1:14" x14ac:dyDescent="0.3">
      <c r="A157" t="s">
        <v>56</v>
      </c>
      <c r="B157">
        <v>2023</v>
      </c>
      <c r="C157" t="s">
        <v>59</v>
      </c>
      <c r="D157" s="6" t="s">
        <v>711</v>
      </c>
      <c r="E157" s="7">
        <f t="shared" si="2"/>
        <v>466000000</v>
      </c>
      <c r="F157" t="s">
        <v>121</v>
      </c>
      <c r="G157" t="s">
        <v>84</v>
      </c>
      <c r="H157" t="s">
        <v>690</v>
      </c>
      <c r="I157"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333000000</v>
      </c>
      <c r="J157" t="s">
        <v>148</v>
      </c>
      <c r="K157" t="s">
        <v>75</v>
      </c>
      <c r="L157" t="s">
        <v>428</v>
      </c>
      <c r="M157"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204000000</v>
      </c>
      <c r="N157" t="s">
        <v>126</v>
      </c>
    </row>
    <row r="158" spans="1:14" x14ac:dyDescent="0.3">
      <c r="A158" t="s">
        <v>57</v>
      </c>
      <c r="B158">
        <v>2021</v>
      </c>
      <c r="C158" t="s">
        <v>78</v>
      </c>
      <c r="D158" s="6" t="s">
        <v>550</v>
      </c>
      <c r="E158" s="7">
        <f t="shared" si="2"/>
        <v>118000000</v>
      </c>
      <c r="F158" t="s">
        <v>41</v>
      </c>
      <c r="G158" t="s">
        <v>91</v>
      </c>
      <c r="H158" t="s">
        <v>712</v>
      </c>
      <c r="I158"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112000000</v>
      </c>
      <c r="J158" t="s">
        <v>148</v>
      </c>
      <c r="K158" t="s">
        <v>102</v>
      </c>
      <c r="L158" t="s">
        <v>713</v>
      </c>
      <c r="M158"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38000000</v>
      </c>
      <c r="N158" t="s">
        <v>50</v>
      </c>
    </row>
    <row r="159" spans="1:14" x14ac:dyDescent="0.3">
      <c r="A159" t="s">
        <v>57</v>
      </c>
      <c r="B159">
        <v>2022</v>
      </c>
      <c r="C159" t="s">
        <v>78</v>
      </c>
      <c r="D159" s="6" t="s">
        <v>714</v>
      </c>
      <c r="E159" s="7">
        <f t="shared" si="2"/>
        <v>140000000</v>
      </c>
      <c r="F159" t="s">
        <v>41</v>
      </c>
      <c r="G159" t="s">
        <v>91</v>
      </c>
      <c r="H159" t="s">
        <v>715</v>
      </c>
      <c r="I159"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76300000</v>
      </c>
      <c r="J159" t="s">
        <v>148</v>
      </c>
      <c r="K159" t="s">
        <v>102</v>
      </c>
      <c r="L159" t="s">
        <v>716</v>
      </c>
      <c r="M159"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57000000</v>
      </c>
      <c r="N159" t="s">
        <v>50</v>
      </c>
    </row>
    <row r="160" spans="1:14" x14ac:dyDescent="0.3">
      <c r="A160" t="s">
        <v>57</v>
      </c>
      <c r="B160">
        <v>2023</v>
      </c>
      <c r="C160" t="s">
        <v>78</v>
      </c>
      <c r="D160" s="6" t="s">
        <v>707</v>
      </c>
      <c r="E160" s="7">
        <f t="shared" si="2"/>
        <v>161000000</v>
      </c>
      <c r="F160" t="s">
        <v>41</v>
      </c>
      <c r="G160" t="s">
        <v>84</v>
      </c>
      <c r="H160" t="s">
        <v>717</v>
      </c>
      <c r="I160"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78700000</v>
      </c>
      <c r="J160" t="s">
        <v>148</v>
      </c>
      <c r="K160" t="s">
        <v>118</v>
      </c>
      <c r="L160" t="s">
        <v>718</v>
      </c>
      <c r="M160"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42100000</v>
      </c>
      <c r="N160" t="s">
        <v>50</v>
      </c>
    </row>
    <row r="161" spans="1:14" x14ac:dyDescent="0.3">
      <c r="A161" t="s">
        <v>58</v>
      </c>
      <c r="B161">
        <v>2021</v>
      </c>
      <c r="C161" t="s">
        <v>61</v>
      </c>
      <c r="D161" s="6" t="s">
        <v>719</v>
      </c>
      <c r="E161" s="7">
        <f t="shared" si="2"/>
        <v>220000000</v>
      </c>
      <c r="F161" t="s">
        <v>40</v>
      </c>
      <c r="G161" t="s">
        <v>65</v>
      </c>
      <c r="H161" t="s">
        <v>720</v>
      </c>
      <c r="I161"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134000000</v>
      </c>
      <c r="J161" t="s">
        <v>146</v>
      </c>
      <c r="K161" t="s">
        <v>62</v>
      </c>
      <c r="L161" t="s">
        <v>712</v>
      </c>
      <c r="M161"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112000000</v>
      </c>
      <c r="N161" t="s">
        <v>50</v>
      </c>
    </row>
    <row r="162" spans="1:14" x14ac:dyDescent="0.3">
      <c r="A162" t="s">
        <v>58</v>
      </c>
      <c r="B162">
        <v>2022</v>
      </c>
      <c r="C162" t="s">
        <v>61</v>
      </c>
      <c r="D162" s="6" t="s">
        <v>699</v>
      </c>
      <c r="E162" s="7">
        <f t="shared" si="2"/>
        <v>289000000</v>
      </c>
      <c r="F162" t="s">
        <v>40</v>
      </c>
      <c r="G162" t="s">
        <v>65</v>
      </c>
      <c r="H162" t="s">
        <v>407</v>
      </c>
      <c r="I162"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164000000</v>
      </c>
      <c r="J162" t="s">
        <v>146</v>
      </c>
      <c r="K162" t="s">
        <v>59</v>
      </c>
      <c r="L162" t="s">
        <v>332</v>
      </c>
      <c r="M162"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155000000</v>
      </c>
      <c r="N162" t="s">
        <v>50</v>
      </c>
    </row>
    <row r="163" spans="1:14" x14ac:dyDescent="0.3">
      <c r="A163" t="s">
        <v>58</v>
      </c>
      <c r="B163">
        <v>2023</v>
      </c>
      <c r="C163" t="s">
        <v>61</v>
      </c>
      <c r="D163" s="6" t="s">
        <v>544</v>
      </c>
      <c r="E163" s="7">
        <f t="shared" si="2"/>
        <v>208000000</v>
      </c>
      <c r="F163" t="s">
        <v>177</v>
      </c>
      <c r="G163" t="s">
        <v>65</v>
      </c>
      <c r="H163" t="s">
        <v>721</v>
      </c>
      <c r="I163" s="7">
        <f>IF(RIGHT(Table1[[#This Row],[Top 2 Import Value]],1)="M",VALUE(LEFT(Table1[[#This Row],[Top 2 Import Value]],LEN(Table1[[#This Row],[Top 2 Import Value]])-1))*1000000,IF(RIGHT(Table1[[#This Row],[Top 2 Import Value]],1)="B",VALUE(LEFT(Table1[[#This Row],[Top 2 Import Value]],LEN(Table1[[#This Row],[Top 2 Import Value]])-1))*1000000000,IF(RIGHT(Table1[[#This Row],[Top 2 Import Value]],1)="K",VALUE(LEFT(Table1[[#This Row],[Top 2 Import Value]],LEN(Table1[[#This Row],[Top 2 Import Value]])-1))*1000,Table1[[#This Row],[Top 2 Import Value]])))</f>
        <v>174000000</v>
      </c>
      <c r="J163" t="s">
        <v>126</v>
      </c>
      <c r="K163" t="s">
        <v>62</v>
      </c>
      <c r="L163" t="s">
        <v>722</v>
      </c>
      <c r="M163" s="7">
        <f>IF(RIGHT(Table1[[#This Row],[Top 3 Import Value]],1)="M",VALUE(LEFT(Table1[[#This Row],[Top 3 Import Value]],LEN(Table1[[#This Row],[Top 3 Import Value]])-1))*1000000,IF(RIGHT(Table1[[#This Row],[Top 3 Import Value]],1)="B",VALUE(LEFT(Table1[[#This Row],[Top 3 Import Value]],LEN(Table1[[#This Row],[Top 3 Import Value]])-1))*1000000000,IF(RIGHT(Table1[[#This Row],[Top 3 Import Value]],1)="K",VALUE(LEFT(Table1[[#This Row],[Top 3 Import Value]],LEN(Table1[[#This Row],[Top 3 Import Value]])-1))*1000,Table1[[#This Row],[Top 3 Import Value]])))</f>
        <v>147000000</v>
      </c>
      <c r="N163"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6EFA-3E69-4E72-8D85-89A4330687DC}">
  <dimension ref="A1:O163"/>
  <sheetViews>
    <sheetView workbookViewId="0">
      <selection activeCell="A2" sqref="A2"/>
    </sheetView>
  </sheetViews>
  <sheetFormatPr defaultRowHeight="14.4" x14ac:dyDescent="0.3"/>
  <cols>
    <col min="1" max="1" width="31.5546875" style="9" bestFit="1" customWidth="1"/>
    <col min="2" max="2" width="9.5546875" style="9" bestFit="1" customWidth="1"/>
    <col min="3" max="3" width="44.44140625" style="9" bestFit="1" customWidth="1"/>
    <col min="4" max="4" width="19.5546875" style="9" hidden="1" customWidth="1"/>
    <col min="5" max="5" width="19.5546875" style="11" customWidth="1"/>
    <col min="6" max="6" width="40" style="9" customWidth="1"/>
    <col min="7" max="7" width="36.88671875" style="9" bestFit="1" customWidth="1"/>
    <col min="8" max="8" width="19.5546875" style="9" hidden="1" customWidth="1"/>
    <col min="9" max="9" width="19.5546875" style="11" customWidth="1"/>
    <col min="10" max="10" width="49.44140625" style="9" bestFit="1" customWidth="1"/>
    <col min="11" max="11" width="64.44140625" style="9" bestFit="1" customWidth="1"/>
    <col min="12" max="12" width="19.5546875" style="9" hidden="1" customWidth="1"/>
    <col min="13" max="13" width="19.5546875" style="11" customWidth="1"/>
    <col min="14" max="14" width="49.44140625" style="9" bestFit="1" customWidth="1"/>
    <col min="15" max="15" width="9.109375" style="9"/>
  </cols>
  <sheetData>
    <row r="1" spans="1:14" x14ac:dyDescent="0.3">
      <c r="A1" s="10" t="s">
        <v>0</v>
      </c>
      <c r="B1" s="10" t="s">
        <v>1</v>
      </c>
      <c r="C1" s="10" t="s">
        <v>723</v>
      </c>
      <c r="D1" s="10" t="s">
        <v>724</v>
      </c>
      <c r="E1" s="10" t="s">
        <v>1067</v>
      </c>
      <c r="F1" s="10" t="s">
        <v>1076</v>
      </c>
      <c r="G1" s="10" t="s">
        <v>725</v>
      </c>
      <c r="H1" s="10" t="s">
        <v>726</v>
      </c>
      <c r="I1" s="10" t="s">
        <v>1072</v>
      </c>
      <c r="J1" s="10" t="s">
        <v>1077</v>
      </c>
      <c r="K1" s="10" t="s">
        <v>727</v>
      </c>
      <c r="L1" s="10" t="s">
        <v>728</v>
      </c>
      <c r="M1" s="10" t="s">
        <v>1073</v>
      </c>
      <c r="N1" s="10" t="s">
        <v>1078</v>
      </c>
    </row>
    <row r="2" spans="1:14" x14ac:dyDescent="0.3">
      <c r="A2" s="9" t="s">
        <v>4</v>
      </c>
      <c r="B2" s="9">
        <v>2021</v>
      </c>
      <c r="C2" s="9" t="s">
        <v>75</v>
      </c>
      <c r="D2" s="9" t="s">
        <v>697</v>
      </c>
      <c r="E2" s="11">
        <f t="shared" ref="E2:E33" si="0">IF(RIGHT(D2,1)="M",VALUE(LEFT(D2,LEN(D2)-1))*1000000,IF(RIGHT(D2,1)="B",VALUE(LEFT(D2,LEN(D2)-1))*1000000000,IF(RIGHT(D2,1)="K",VALUE(LEFT(D2,LEN(D2)-1))*1000,D2)))</f>
        <v>275000000</v>
      </c>
      <c r="F2" s="9" t="s">
        <v>269</v>
      </c>
      <c r="G2" s="9" t="s">
        <v>178</v>
      </c>
      <c r="H2" s="9" t="s">
        <v>567</v>
      </c>
      <c r="I2" s="11">
        <f>IF(RIGHT(Table2[[#This Row],[Top 2 Export Value]],1)="M",VALUE(LEFT(Table2[[#This Row],[Top 2 Export Value]],LEN(Table2[[#This Row],[Top 2 Export Value]])-1))*1000000,IF(RIGHT(Table2[[#This Row],[Top 2 Export Value]],1)="B",VALUE(LEFT(Table2[[#This Row],[Top 2 Export Value]],LEN(Table2[[#This Row],[Top 2 Export Value]])-1))*1000000000,IF(RIGHT(D2,1)="k",VALUE(LEFT(Table2[[#This Row],[Top 2 Export Value]],LEN(Table2[[#This Row],[Top 2 Export Value]])-1))*1000,Table2[[#This Row],[Top 2 Export Value]])))</f>
        <v>143000000</v>
      </c>
      <c r="J2" s="9" t="s">
        <v>270</v>
      </c>
      <c r="K2" s="9" t="s">
        <v>179</v>
      </c>
      <c r="L2" s="9" t="s">
        <v>370</v>
      </c>
      <c r="M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30300000</v>
      </c>
      <c r="N2" s="9" t="s">
        <v>170</v>
      </c>
    </row>
    <row r="3" spans="1:14" x14ac:dyDescent="0.3">
      <c r="A3" s="9" t="s">
        <v>4</v>
      </c>
      <c r="B3" s="9">
        <v>2022</v>
      </c>
      <c r="C3" s="9" t="s">
        <v>75</v>
      </c>
      <c r="D3" s="9" t="s">
        <v>332</v>
      </c>
      <c r="E3" s="11">
        <f t="shared" si="0"/>
        <v>155000000</v>
      </c>
      <c r="F3" s="9" t="s">
        <v>269</v>
      </c>
      <c r="G3" s="9" t="s">
        <v>178</v>
      </c>
      <c r="H3" s="9" t="s">
        <v>729</v>
      </c>
      <c r="I3" s="11">
        <f>IF(RIGHT(Table2[[#This Row],[Top 2 Export Value]],1)="M",VALUE(LEFT(Table2[[#This Row],[Top 2 Export Value]],LEN(Table2[[#This Row],[Top 2 Export Value]])-1))*1000000,IF(RIGHT(Table2[[#This Row],[Top 2 Export Value]],1)="B",VALUE(LEFT(Table2[[#This Row],[Top 2 Export Value]],LEN(Table2[[#This Row],[Top 2 Export Value]])-1))*1000000000,IF(RIGHT(D3,1)="k",VALUE(LEFT(Table2[[#This Row],[Top 2 Export Value]],LEN(Table2[[#This Row],[Top 2 Export Value]])-1))*1000,Table2[[#This Row],[Top 2 Export Value]])))</f>
        <v>127000000</v>
      </c>
      <c r="J3" s="9" t="s">
        <v>39</v>
      </c>
      <c r="K3" s="9" t="s">
        <v>179</v>
      </c>
      <c r="L3" s="9" t="s">
        <v>730</v>
      </c>
      <c r="M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47900000</v>
      </c>
      <c r="N3" s="9" t="s">
        <v>170</v>
      </c>
    </row>
    <row r="4" spans="1:14" x14ac:dyDescent="0.3">
      <c r="A4" s="9" t="s">
        <v>4</v>
      </c>
      <c r="B4" s="9">
        <v>2023</v>
      </c>
      <c r="C4" s="9" t="s">
        <v>75</v>
      </c>
      <c r="D4" s="9" t="s">
        <v>731</v>
      </c>
      <c r="E4" s="11">
        <f t="shared" si="0"/>
        <v>200000000</v>
      </c>
      <c r="F4" s="9" t="s">
        <v>54</v>
      </c>
      <c r="G4" s="9" t="s">
        <v>178</v>
      </c>
      <c r="H4" s="9" t="s">
        <v>732</v>
      </c>
      <c r="I4" s="11">
        <f>IF(RIGHT(Table2[[#This Row],[Top 2 Export Value]],1)="M",VALUE(LEFT(Table2[[#This Row],[Top 2 Export Value]],LEN(Table2[[#This Row],[Top 2 Export Value]])-1))*1000000,IF(RIGHT(Table2[[#This Row],[Top 2 Export Value]],1)="B",VALUE(LEFT(Table2[[#This Row],[Top 2 Export Value]],LEN(Table2[[#This Row],[Top 2 Export Value]])-1))*1000000000,IF(RIGHT(D4,1)="k",VALUE(LEFT(Table2[[#This Row],[Top 2 Export Value]],LEN(Table2[[#This Row],[Top 2 Export Value]])-1))*1000,Table2[[#This Row],[Top 2 Export Value]])))</f>
        <v>132000000</v>
      </c>
      <c r="J4" s="9" t="s">
        <v>39</v>
      </c>
      <c r="K4" s="9" t="s">
        <v>180</v>
      </c>
      <c r="L4" s="9" t="s">
        <v>661</v>
      </c>
      <c r="M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19500000</v>
      </c>
      <c r="N4" s="9" t="s">
        <v>170</v>
      </c>
    </row>
    <row r="5" spans="1:14" x14ac:dyDescent="0.3">
      <c r="A5" s="9" t="s">
        <v>6</v>
      </c>
      <c r="B5" s="9">
        <v>2021</v>
      </c>
      <c r="C5" s="9" t="s">
        <v>78</v>
      </c>
      <c r="D5" s="9" t="s">
        <v>733</v>
      </c>
      <c r="E5" s="11">
        <f t="shared" si="0"/>
        <v>32100000</v>
      </c>
      <c r="F5" s="9" t="s">
        <v>27</v>
      </c>
      <c r="G5" s="9" t="s">
        <v>181</v>
      </c>
      <c r="H5" s="9" t="s">
        <v>734</v>
      </c>
      <c r="I5" s="11">
        <f>IF(RIGHT(Table2[[#This Row],[Top 2 Export Value]],1)="M",VALUE(LEFT(Table2[[#This Row],[Top 2 Export Value]],LEN(Table2[[#This Row],[Top 2 Export Value]])-1))*1000000,IF(RIGHT(Table2[[#This Row],[Top 2 Export Value]],1)="B",VALUE(LEFT(Table2[[#This Row],[Top 2 Export Value]],LEN(Table2[[#This Row],[Top 2 Export Value]])-1))*1000000000,IF(RIGHT(D5,1)="k",VALUE(LEFT(Table2[[#This Row],[Top 2 Export Value]],LEN(Table2[[#This Row],[Top 2 Export Value]])-1))*1000,Table2[[#This Row],[Top 2 Export Value]])))</f>
        <v>28100000</v>
      </c>
      <c r="J5" s="9" t="s">
        <v>170</v>
      </c>
      <c r="K5" s="9" t="s">
        <v>182</v>
      </c>
      <c r="L5" s="9" t="s">
        <v>338</v>
      </c>
      <c r="M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25500000</v>
      </c>
      <c r="N5" s="9" t="s">
        <v>271</v>
      </c>
    </row>
    <row r="6" spans="1:14" x14ac:dyDescent="0.3">
      <c r="A6" s="9" t="s">
        <v>6</v>
      </c>
      <c r="B6" s="9">
        <v>2022</v>
      </c>
      <c r="C6" s="9" t="s">
        <v>183</v>
      </c>
      <c r="D6" s="9" t="s">
        <v>735</v>
      </c>
      <c r="E6" s="11">
        <f t="shared" si="0"/>
        <v>27900000</v>
      </c>
      <c r="F6" s="9" t="s">
        <v>168</v>
      </c>
      <c r="G6" s="9" t="s">
        <v>183</v>
      </c>
      <c r="H6" s="9" t="s">
        <v>736</v>
      </c>
      <c r="I6" s="11">
        <f>IF(RIGHT(Table2[[#This Row],[Top 2 Export Value]],1)="M",VALUE(LEFT(Table2[[#This Row],[Top 2 Export Value]],LEN(Table2[[#This Row],[Top 2 Export Value]])-1))*1000000,IF(RIGHT(Table2[[#This Row],[Top 2 Export Value]],1)="B",VALUE(LEFT(Table2[[#This Row],[Top 2 Export Value]],LEN(Table2[[#This Row],[Top 2 Export Value]])-1))*1000000000,IF(RIGHT(D6,1)="k",VALUE(LEFT(Table2[[#This Row],[Top 2 Export Value]],LEN(Table2[[#This Row],[Top 2 Export Value]])-1))*1000,Table2[[#This Row],[Top 2 Export Value]])))</f>
        <v>8199999.9999999991</v>
      </c>
      <c r="J6" s="9" t="s">
        <v>39</v>
      </c>
      <c r="K6" s="9" t="s">
        <v>181</v>
      </c>
      <c r="L6" s="9" t="s">
        <v>373</v>
      </c>
      <c r="M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26600000</v>
      </c>
      <c r="N6" s="9" t="s">
        <v>170</v>
      </c>
    </row>
    <row r="7" spans="1:14" x14ac:dyDescent="0.3">
      <c r="A7" s="9" t="s">
        <v>6</v>
      </c>
      <c r="B7" s="9">
        <v>2023</v>
      </c>
      <c r="C7" s="9" t="s">
        <v>183</v>
      </c>
      <c r="D7" s="9" t="s">
        <v>737</v>
      </c>
      <c r="E7" s="11">
        <f t="shared" si="0"/>
        <v>46700000</v>
      </c>
      <c r="F7" s="9" t="s">
        <v>145</v>
      </c>
      <c r="G7" s="9" t="s">
        <v>181</v>
      </c>
      <c r="H7" s="9" t="s">
        <v>738</v>
      </c>
      <c r="I7" s="11">
        <f>IF(RIGHT(Table2[[#This Row],[Top 2 Export Value]],1)="M",VALUE(LEFT(Table2[[#This Row],[Top 2 Export Value]],LEN(Table2[[#This Row],[Top 2 Export Value]])-1))*1000000,IF(RIGHT(Table2[[#This Row],[Top 2 Export Value]],1)="B",VALUE(LEFT(Table2[[#This Row],[Top 2 Export Value]],LEN(Table2[[#This Row],[Top 2 Export Value]])-1))*1000000000,IF(RIGHT(D7,1)="k",VALUE(LEFT(Table2[[#This Row],[Top 2 Export Value]],LEN(Table2[[#This Row],[Top 2 Export Value]])-1))*1000,Table2[[#This Row],[Top 2 Export Value]])))</f>
        <v>25200000</v>
      </c>
      <c r="J7" s="9" t="s">
        <v>170</v>
      </c>
      <c r="K7" s="9" t="s">
        <v>78</v>
      </c>
      <c r="L7" s="9" t="s">
        <v>739</v>
      </c>
      <c r="M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22000000</v>
      </c>
      <c r="N7" s="9" t="s">
        <v>27</v>
      </c>
    </row>
    <row r="8" spans="1:14" x14ac:dyDescent="0.3">
      <c r="A8" s="9" t="s">
        <v>7</v>
      </c>
      <c r="B8" s="9">
        <v>2021</v>
      </c>
      <c r="C8" s="9" t="s">
        <v>184</v>
      </c>
      <c r="D8" s="9" t="s">
        <v>674</v>
      </c>
      <c r="E8" s="11">
        <f t="shared" si="0"/>
        <v>618000000</v>
      </c>
      <c r="F8" s="9" t="s">
        <v>272</v>
      </c>
      <c r="G8" s="9" t="s">
        <v>185</v>
      </c>
      <c r="H8" s="9" t="s">
        <v>331</v>
      </c>
      <c r="I8" s="11">
        <f>IF(RIGHT(Table2[[#This Row],[Top 2 Export Value]],1)="M",VALUE(LEFT(Table2[[#This Row],[Top 2 Export Value]],LEN(Table2[[#This Row],[Top 2 Export Value]])-1))*1000000,IF(RIGHT(Table2[[#This Row],[Top 2 Export Value]],1)="B",VALUE(LEFT(Table2[[#This Row],[Top 2 Export Value]],LEN(Table2[[#This Row],[Top 2 Export Value]])-1))*1000000000,IF(RIGHT(D8,1)="k",VALUE(LEFT(Table2[[#This Row],[Top 2 Export Value]],LEN(Table2[[#This Row],[Top 2 Export Value]])-1))*1000,Table2[[#This Row],[Top 2 Export Value]])))</f>
        <v>264000000</v>
      </c>
      <c r="J8" s="9" t="s">
        <v>164</v>
      </c>
      <c r="K8" s="9" t="s">
        <v>186</v>
      </c>
      <c r="L8" s="9" t="s">
        <v>332</v>
      </c>
      <c r="M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155000000</v>
      </c>
      <c r="N8" s="9" t="s">
        <v>129</v>
      </c>
    </row>
    <row r="9" spans="1:14" x14ac:dyDescent="0.3">
      <c r="A9" s="9" t="s">
        <v>7</v>
      </c>
      <c r="B9" s="9">
        <v>2022</v>
      </c>
      <c r="C9" s="9" t="s">
        <v>184</v>
      </c>
      <c r="D9" s="9" t="s">
        <v>740</v>
      </c>
      <c r="E9" s="11">
        <f t="shared" si="0"/>
        <v>599000000</v>
      </c>
      <c r="F9" s="9" t="s">
        <v>272</v>
      </c>
      <c r="G9" s="9" t="s">
        <v>186</v>
      </c>
      <c r="H9" s="9" t="s">
        <v>334</v>
      </c>
      <c r="I9" s="11">
        <f>IF(RIGHT(Table2[[#This Row],[Top 2 Export Value]],1)="M",VALUE(LEFT(Table2[[#This Row],[Top 2 Export Value]],LEN(Table2[[#This Row],[Top 2 Export Value]])-1))*1000000,IF(RIGHT(Table2[[#This Row],[Top 2 Export Value]],1)="B",VALUE(LEFT(Table2[[#This Row],[Top 2 Export Value]],LEN(Table2[[#This Row],[Top 2 Export Value]])-1))*1000000000,IF(RIGHT(D9,1)="k",VALUE(LEFT(Table2[[#This Row],[Top 2 Export Value]],LEN(Table2[[#This Row],[Top 2 Export Value]])-1))*1000,Table2[[#This Row],[Top 2 Export Value]])))</f>
        <v>292000000</v>
      </c>
      <c r="J9" s="9" t="s">
        <v>272</v>
      </c>
      <c r="K9" s="9" t="s">
        <v>185</v>
      </c>
      <c r="L9" s="9" t="s">
        <v>335</v>
      </c>
      <c r="M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266000000</v>
      </c>
      <c r="N9" s="9" t="s">
        <v>164</v>
      </c>
    </row>
    <row r="10" spans="1:14" x14ac:dyDescent="0.3">
      <c r="A10" s="9" t="s">
        <v>7</v>
      </c>
      <c r="B10" s="9">
        <v>2023</v>
      </c>
      <c r="C10" s="9" t="s">
        <v>184</v>
      </c>
      <c r="D10" s="9" t="s">
        <v>741</v>
      </c>
      <c r="E10" s="11">
        <f t="shared" si="0"/>
        <v>490000000</v>
      </c>
      <c r="F10" s="9" t="s">
        <v>272</v>
      </c>
      <c r="G10" s="9" t="s">
        <v>185</v>
      </c>
      <c r="H10" s="9" t="s">
        <v>337</v>
      </c>
      <c r="I10" s="11">
        <f>IF(RIGHT(Table2[[#This Row],[Top 2 Export Value]],1)="M",VALUE(LEFT(Table2[[#This Row],[Top 2 Export Value]],LEN(Table2[[#This Row],[Top 2 Export Value]])-1))*1000000,IF(RIGHT(Table2[[#This Row],[Top 2 Export Value]],1)="B",VALUE(LEFT(Table2[[#This Row],[Top 2 Export Value]],LEN(Table2[[#This Row],[Top 2 Export Value]])-1))*1000000000,IF(RIGHT(D10,1)="k",VALUE(LEFT(Table2[[#This Row],[Top 2 Export Value]],LEN(Table2[[#This Row],[Top 2 Export Value]])-1))*1000,Table2[[#This Row],[Top 2 Export Value]])))</f>
        <v>142000000</v>
      </c>
      <c r="J10" s="9" t="s">
        <v>164</v>
      </c>
      <c r="K10" s="9" t="s">
        <v>186</v>
      </c>
      <c r="L10" s="9" t="s">
        <v>742</v>
      </c>
      <c r="M1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113000000</v>
      </c>
      <c r="N10" s="9" t="s">
        <v>129</v>
      </c>
    </row>
    <row r="11" spans="1:14" x14ac:dyDescent="0.3">
      <c r="A11" s="9" t="s">
        <v>8</v>
      </c>
      <c r="B11" s="9">
        <v>2021</v>
      </c>
      <c r="C11" s="9" t="s">
        <v>187</v>
      </c>
      <c r="D11" s="9" t="s">
        <v>645</v>
      </c>
      <c r="E11" s="11">
        <f t="shared" si="0"/>
        <v>139000000</v>
      </c>
      <c r="F11" s="9" t="s">
        <v>50</v>
      </c>
      <c r="G11" s="9" t="s">
        <v>188</v>
      </c>
      <c r="H11" s="9" t="s">
        <v>743</v>
      </c>
      <c r="I11" s="11">
        <f>IF(RIGHT(Table2[[#This Row],[Top 2 Export Value]],1)="M",VALUE(LEFT(Table2[[#This Row],[Top 2 Export Value]],LEN(Table2[[#This Row],[Top 2 Export Value]])-1))*1000000,IF(RIGHT(Table2[[#This Row],[Top 2 Export Value]],1)="B",VALUE(LEFT(Table2[[#This Row],[Top 2 Export Value]],LEN(Table2[[#This Row],[Top 2 Export Value]])-1))*1000000000,IF(RIGHT(D11,1)="k",VALUE(LEFT(Table2[[#This Row],[Top 2 Export Value]],LEN(Table2[[#This Row],[Top 2 Export Value]])-1))*1000,Table2[[#This Row],[Top 2 Export Value]])))</f>
        <v>11300000</v>
      </c>
      <c r="J11" s="9" t="s">
        <v>149</v>
      </c>
      <c r="K11" s="9" t="s">
        <v>189</v>
      </c>
      <c r="L11" s="9" t="s">
        <v>744</v>
      </c>
      <c r="M1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10800000</v>
      </c>
      <c r="N11" s="9" t="s">
        <v>50</v>
      </c>
    </row>
    <row r="12" spans="1:14" x14ac:dyDescent="0.3">
      <c r="A12" s="9" t="s">
        <v>8</v>
      </c>
      <c r="B12" s="9">
        <v>2022</v>
      </c>
      <c r="C12" s="9" t="s">
        <v>187</v>
      </c>
      <c r="D12" s="9" t="s">
        <v>626</v>
      </c>
      <c r="E12" s="11">
        <f t="shared" si="0"/>
        <v>178000000</v>
      </c>
      <c r="F12" s="9" t="s">
        <v>50</v>
      </c>
      <c r="G12" s="9" t="s">
        <v>188</v>
      </c>
      <c r="H12" s="9" t="s">
        <v>372</v>
      </c>
      <c r="I12" s="11">
        <f>IF(RIGHT(Table2[[#This Row],[Top 2 Export Value]],1)="M",VALUE(LEFT(Table2[[#This Row],[Top 2 Export Value]],LEN(Table2[[#This Row],[Top 2 Export Value]])-1))*1000000,IF(RIGHT(Table2[[#This Row],[Top 2 Export Value]],1)="B",VALUE(LEFT(Table2[[#This Row],[Top 2 Export Value]],LEN(Table2[[#This Row],[Top 2 Export Value]])-1))*1000000000,IF(RIGHT(D12,1)="k",VALUE(LEFT(Table2[[#This Row],[Top 2 Export Value]],LEN(Table2[[#This Row],[Top 2 Export Value]])-1))*1000,Table2[[#This Row],[Top 2 Export Value]])))</f>
        <v>19900000</v>
      </c>
      <c r="J12" s="9" t="s">
        <v>149</v>
      </c>
      <c r="K12" s="9" t="s">
        <v>189</v>
      </c>
      <c r="L12" s="9" t="s">
        <v>372</v>
      </c>
      <c r="M1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19900000</v>
      </c>
      <c r="N12" s="9" t="s">
        <v>50</v>
      </c>
    </row>
    <row r="13" spans="1:14" x14ac:dyDescent="0.3">
      <c r="A13" s="9" t="s">
        <v>8</v>
      </c>
      <c r="B13" s="9">
        <v>2023</v>
      </c>
      <c r="C13" s="9" t="s">
        <v>187</v>
      </c>
      <c r="D13" s="9" t="s">
        <v>608</v>
      </c>
      <c r="E13" s="11">
        <f t="shared" si="0"/>
        <v>50300000</v>
      </c>
      <c r="F13" s="9" t="s">
        <v>50</v>
      </c>
      <c r="G13" s="9" t="s">
        <v>188</v>
      </c>
      <c r="H13" s="9" t="s">
        <v>745</v>
      </c>
      <c r="I13" s="11">
        <f>IF(RIGHT(Table2[[#This Row],[Top 2 Export Value]],1)="M",VALUE(LEFT(Table2[[#This Row],[Top 2 Export Value]],LEN(Table2[[#This Row],[Top 2 Export Value]])-1))*1000000,IF(RIGHT(Table2[[#This Row],[Top 2 Export Value]],1)="B",VALUE(LEFT(Table2[[#This Row],[Top 2 Export Value]],LEN(Table2[[#This Row],[Top 2 Export Value]])-1))*1000000000,IF(RIGHT(D13,1)="k",VALUE(LEFT(Table2[[#This Row],[Top 2 Export Value]],LEN(Table2[[#This Row],[Top 2 Export Value]])-1))*1000,Table2[[#This Row],[Top 2 Export Value]])))</f>
        <v>21900000</v>
      </c>
      <c r="J13" s="9" t="s">
        <v>149</v>
      </c>
      <c r="K13" s="9" t="s">
        <v>189</v>
      </c>
      <c r="L13" s="9" t="s">
        <v>746</v>
      </c>
      <c r="M1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5980000</v>
      </c>
      <c r="N13" s="9" t="s">
        <v>50</v>
      </c>
    </row>
    <row r="14" spans="1:14" x14ac:dyDescent="0.3">
      <c r="A14" s="9" t="s">
        <v>9</v>
      </c>
      <c r="B14" s="9">
        <v>2021</v>
      </c>
      <c r="C14" s="9" t="s">
        <v>190</v>
      </c>
      <c r="D14" s="9" t="s">
        <v>747</v>
      </c>
      <c r="E14" s="11">
        <f t="shared" si="0"/>
        <v>526000000</v>
      </c>
      <c r="F14" s="9" t="s">
        <v>273</v>
      </c>
      <c r="G14" s="9" t="s">
        <v>191</v>
      </c>
      <c r="H14" s="9" t="s">
        <v>546</v>
      </c>
      <c r="I14" s="11">
        <f>IF(RIGHT(Table2[[#This Row],[Top 2 Export Value]],1)="M",VALUE(LEFT(Table2[[#This Row],[Top 2 Export Value]],LEN(Table2[[#This Row],[Top 2 Export Value]])-1))*1000000,IF(RIGHT(Table2[[#This Row],[Top 2 Export Value]],1)="B",VALUE(LEFT(Table2[[#This Row],[Top 2 Export Value]],LEN(Table2[[#This Row],[Top 2 Export Value]])-1))*1000000000,IF(RIGHT(D14,1)="k",VALUE(LEFT(Table2[[#This Row],[Top 2 Export Value]],LEN(Table2[[#This Row],[Top 2 Export Value]])-1))*1000,Table2[[#This Row],[Top 2 Export Value]])))</f>
        <v>115000000</v>
      </c>
      <c r="J14" s="9" t="s">
        <v>27</v>
      </c>
      <c r="K14" s="9" t="s">
        <v>192</v>
      </c>
      <c r="L14" s="9" t="s">
        <v>748</v>
      </c>
      <c r="M1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95700000</v>
      </c>
      <c r="N14" s="9" t="s">
        <v>274</v>
      </c>
    </row>
    <row r="15" spans="1:14" x14ac:dyDescent="0.3">
      <c r="A15" s="9" t="s">
        <v>9</v>
      </c>
      <c r="B15" s="9">
        <v>2022</v>
      </c>
      <c r="C15" s="9" t="s">
        <v>190</v>
      </c>
      <c r="D15" s="9" t="s">
        <v>749</v>
      </c>
      <c r="E15" s="11">
        <f t="shared" si="0"/>
        <v>517000000</v>
      </c>
      <c r="F15" s="9" t="s">
        <v>273</v>
      </c>
      <c r="G15" s="9" t="s">
        <v>191</v>
      </c>
      <c r="H15" s="9" t="s">
        <v>380</v>
      </c>
      <c r="I15" s="11">
        <f>IF(RIGHT(Table2[[#This Row],[Top 2 Export Value]],1)="M",VALUE(LEFT(Table2[[#This Row],[Top 2 Export Value]],LEN(Table2[[#This Row],[Top 2 Export Value]])-1))*1000000,IF(RIGHT(Table2[[#This Row],[Top 2 Export Value]],1)="B",VALUE(LEFT(Table2[[#This Row],[Top 2 Export Value]],LEN(Table2[[#This Row],[Top 2 Export Value]])-1))*1000000000,IF(RIGHT(D15,1)="k",VALUE(LEFT(Table2[[#This Row],[Top 2 Export Value]],LEN(Table2[[#This Row],[Top 2 Export Value]])-1))*1000,Table2[[#This Row],[Top 2 Export Value]])))</f>
        <v>189000000</v>
      </c>
      <c r="J15" s="9" t="s">
        <v>274</v>
      </c>
      <c r="K15" s="9" t="s">
        <v>192</v>
      </c>
      <c r="L15" s="9" t="s">
        <v>566</v>
      </c>
      <c r="M1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157000000</v>
      </c>
      <c r="N15" s="9" t="s">
        <v>164</v>
      </c>
    </row>
    <row r="16" spans="1:14" x14ac:dyDescent="0.3">
      <c r="A16" s="9" t="s">
        <v>9</v>
      </c>
      <c r="B16" s="9">
        <v>2023</v>
      </c>
      <c r="C16" s="9" t="s">
        <v>190</v>
      </c>
      <c r="D16" s="9" t="s">
        <v>750</v>
      </c>
      <c r="E16" s="11">
        <f t="shared" si="0"/>
        <v>262000000</v>
      </c>
      <c r="F16" s="9" t="s">
        <v>17</v>
      </c>
      <c r="G16" s="9" t="s">
        <v>191</v>
      </c>
      <c r="H16" s="9" t="s">
        <v>355</v>
      </c>
      <c r="I16" s="11">
        <f>IF(RIGHT(Table2[[#This Row],[Top 2 Export Value]],1)="M",VALUE(LEFT(Table2[[#This Row],[Top 2 Export Value]],LEN(Table2[[#This Row],[Top 2 Export Value]])-1))*1000000,IF(RIGHT(Table2[[#This Row],[Top 2 Export Value]],1)="B",VALUE(LEFT(Table2[[#This Row],[Top 2 Export Value]],LEN(Table2[[#This Row],[Top 2 Export Value]])-1))*1000000000,IF(RIGHT(D16,1)="k",VALUE(LEFT(Table2[[#This Row],[Top 2 Export Value]],LEN(Table2[[#This Row],[Top 2 Export Value]])-1))*1000,Table2[[#This Row],[Top 2 Export Value]])))</f>
        <v>184000000</v>
      </c>
      <c r="J16" s="9" t="s">
        <v>275</v>
      </c>
      <c r="K16" s="9" t="s">
        <v>192</v>
      </c>
      <c r="L16" s="9" t="s">
        <v>356</v>
      </c>
      <c r="M1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154000000</v>
      </c>
      <c r="N16" s="9" t="s">
        <v>164</v>
      </c>
    </row>
    <row r="17" spans="1:14" x14ac:dyDescent="0.3">
      <c r="A17" s="9" t="s">
        <v>10</v>
      </c>
      <c r="B17" s="9">
        <v>2021</v>
      </c>
      <c r="C17" s="9" t="s">
        <v>193</v>
      </c>
      <c r="D17" s="9" t="s">
        <v>751</v>
      </c>
      <c r="E17" s="11">
        <f t="shared" si="0"/>
        <v>41800000</v>
      </c>
      <c r="F17" s="9" t="s">
        <v>143</v>
      </c>
      <c r="G17" s="9" t="s">
        <v>194</v>
      </c>
      <c r="H17" s="9" t="s">
        <v>752</v>
      </c>
      <c r="I17" s="11">
        <f>IF(RIGHT(Table2[[#This Row],[Top 2 Export Value]],1)="M",VALUE(LEFT(Table2[[#This Row],[Top 2 Export Value]],LEN(Table2[[#This Row],[Top 2 Export Value]])-1))*1000000,IF(RIGHT(Table2[[#This Row],[Top 2 Export Value]],1)="B",VALUE(LEFT(Table2[[#This Row],[Top 2 Export Value]],LEN(Table2[[#This Row],[Top 2 Export Value]])-1))*1000000000,IF(RIGHT(D17,1)="k",VALUE(LEFT(Table2[[#This Row],[Top 2 Export Value]],LEN(Table2[[#This Row],[Top 2 Export Value]])-1))*1000,Table2[[#This Row],[Top 2 Export Value]])))</f>
        <v>23900000</v>
      </c>
      <c r="J17" s="9" t="s">
        <v>276</v>
      </c>
      <c r="K17" s="9" t="s">
        <v>178</v>
      </c>
      <c r="L17" s="9" t="s">
        <v>753</v>
      </c>
      <c r="M1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1030000</v>
      </c>
      <c r="N17" s="9" t="s">
        <v>135</v>
      </c>
    </row>
    <row r="18" spans="1:14" x14ac:dyDescent="0.3">
      <c r="A18" s="9" t="s">
        <v>10</v>
      </c>
      <c r="B18" s="9">
        <v>2022</v>
      </c>
      <c r="C18" s="9" t="s">
        <v>193</v>
      </c>
      <c r="D18" s="9" t="s">
        <v>754</v>
      </c>
      <c r="E18" s="11">
        <f t="shared" si="0"/>
        <v>36200000</v>
      </c>
      <c r="F18" s="9" t="s">
        <v>143</v>
      </c>
      <c r="G18" s="9" t="s">
        <v>194</v>
      </c>
      <c r="H18" s="9" t="s">
        <v>755</v>
      </c>
      <c r="I18" s="11">
        <f>IF(RIGHT(Table2[[#This Row],[Top 2 Export Value]],1)="M",VALUE(LEFT(Table2[[#This Row],[Top 2 Export Value]],LEN(Table2[[#This Row],[Top 2 Export Value]])-1))*1000000,IF(RIGHT(Table2[[#This Row],[Top 2 Export Value]],1)="B",VALUE(LEFT(Table2[[#This Row],[Top 2 Export Value]],LEN(Table2[[#This Row],[Top 2 Export Value]])-1))*1000000000,IF(RIGHT(D18,1)="k",VALUE(LEFT(Table2[[#This Row],[Top 2 Export Value]],LEN(Table2[[#This Row],[Top 2 Export Value]])-1))*1000,Table2[[#This Row],[Top 2 Export Value]])))</f>
        <v>26500000</v>
      </c>
      <c r="J18" s="9" t="s">
        <v>129</v>
      </c>
      <c r="K18" s="9" t="s">
        <v>182</v>
      </c>
      <c r="L18" s="9" t="s">
        <v>756</v>
      </c>
      <c r="M1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1760000</v>
      </c>
      <c r="N18" s="9" t="s">
        <v>154</v>
      </c>
    </row>
    <row r="19" spans="1:14" x14ac:dyDescent="0.3">
      <c r="A19" s="9" t="s">
        <v>10</v>
      </c>
      <c r="B19" s="9">
        <v>2023</v>
      </c>
      <c r="C19" s="9" t="s">
        <v>193</v>
      </c>
      <c r="D19" s="9" t="s">
        <v>732</v>
      </c>
      <c r="E19" s="11">
        <f t="shared" si="0"/>
        <v>132000000</v>
      </c>
      <c r="F19" s="9" t="s">
        <v>143</v>
      </c>
      <c r="G19" s="9" t="s">
        <v>194</v>
      </c>
      <c r="H19" s="9" t="s">
        <v>757</v>
      </c>
      <c r="I19" s="11">
        <f>IF(RIGHT(Table2[[#This Row],[Top 2 Export Value]],1)="M",VALUE(LEFT(Table2[[#This Row],[Top 2 Export Value]],LEN(Table2[[#This Row],[Top 2 Export Value]])-1))*1000000,IF(RIGHT(Table2[[#This Row],[Top 2 Export Value]],1)="B",VALUE(LEFT(Table2[[#This Row],[Top 2 Export Value]],LEN(Table2[[#This Row],[Top 2 Export Value]])-1))*1000000000,IF(RIGHT(D19,1)="k",VALUE(LEFT(Table2[[#This Row],[Top 2 Export Value]],LEN(Table2[[#This Row],[Top 2 Export Value]])-1))*1000,Table2[[#This Row],[Top 2 Export Value]])))</f>
        <v>11700000</v>
      </c>
      <c r="J19" s="9" t="s">
        <v>129</v>
      </c>
      <c r="K19" s="9" t="s">
        <v>192</v>
      </c>
      <c r="L19" s="9" t="s">
        <v>758</v>
      </c>
      <c r="M1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152000</v>
      </c>
      <c r="N19" s="9" t="s">
        <v>273</v>
      </c>
    </row>
    <row r="20" spans="1:14" x14ac:dyDescent="0.3">
      <c r="A20" s="9" t="s">
        <v>11</v>
      </c>
      <c r="B20" s="9">
        <v>2021</v>
      </c>
      <c r="C20" s="9" t="s">
        <v>195</v>
      </c>
      <c r="D20" s="9" t="s">
        <v>759</v>
      </c>
      <c r="E20" s="11">
        <f t="shared" si="0"/>
        <v>53100000</v>
      </c>
      <c r="F20" s="9" t="s">
        <v>170</v>
      </c>
      <c r="G20" s="9" t="s">
        <v>196</v>
      </c>
      <c r="H20" s="9" t="s">
        <v>760</v>
      </c>
      <c r="I20" s="11">
        <f>IF(RIGHT(Table2[[#This Row],[Top 2 Export Value]],1)="M",VALUE(LEFT(Table2[[#This Row],[Top 2 Export Value]],LEN(Table2[[#This Row],[Top 2 Export Value]])-1))*1000000,IF(RIGHT(Table2[[#This Row],[Top 2 Export Value]],1)="B",VALUE(LEFT(Table2[[#This Row],[Top 2 Export Value]],LEN(Table2[[#This Row],[Top 2 Export Value]])-1))*1000000000,IF(RIGHT(D20,1)="k",VALUE(LEFT(Table2[[#This Row],[Top 2 Export Value]],LEN(Table2[[#This Row],[Top 2 Export Value]])-1))*1000,Table2[[#This Row],[Top 2 Export Value]])))</f>
        <v>5720000</v>
      </c>
      <c r="J20" s="9" t="s">
        <v>271</v>
      </c>
      <c r="K20" s="9" t="s">
        <v>197</v>
      </c>
      <c r="L20" s="9" t="s">
        <v>761</v>
      </c>
      <c r="M2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5530000</v>
      </c>
      <c r="N20" s="9" t="s">
        <v>170</v>
      </c>
    </row>
    <row r="21" spans="1:14" x14ac:dyDescent="0.3">
      <c r="A21" s="9" t="s">
        <v>11</v>
      </c>
      <c r="B21" s="9">
        <v>2022</v>
      </c>
      <c r="C21" s="9" t="s">
        <v>195</v>
      </c>
      <c r="D21" s="9" t="s">
        <v>762</v>
      </c>
      <c r="E21" s="11">
        <f t="shared" si="0"/>
        <v>51900000</v>
      </c>
      <c r="F21" s="9" t="s">
        <v>170</v>
      </c>
      <c r="G21" s="9" t="s">
        <v>197</v>
      </c>
      <c r="H21" s="9" t="s">
        <v>763</v>
      </c>
      <c r="I21" s="11">
        <f>IF(RIGHT(Table2[[#This Row],[Top 2 Export Value]],1)="M",VALUE(LEFT(Table2[[#This Row],[Top 2 Export Value]],LEN(Table2[[#This Row],[Top 2 Export Value]])-1))*1000000,IF(RIGHT(Table2[[#This Row],[Top 2 Export Value]],1)="B",VALUE(LEFT(Table2[[#This Row],[Top 2 Export Value]],LEN(Table2[[#This Row],[Top 2 Export Value]])-1))*1000000000,IF(RIGHT(D21,1)="k",VALUE(LEFT(Table2[[#This Row],[Top 2 Export Value]],LEN(Table2[[#This Row],[Top 2 Export Value]])-1))*1000,Table2[[#This Row],[Top 2 Export Value]])))</f>
        <v>7480000</v>
      </c>
      <c r="J21" s="9" t="s">
        <v>170</v>
      </c>
      <c r="K21" s="9" t="s">
        <v>198</v>
      </c>
      <c r="L21" s="9" t="s">
        <v>764</v>
      </c>
      <c r="M2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5680000</v>
      </c>
      <c r="N21" s="9" t="s">
        <v>170</v>
      </c>
    </row>
    <row r="22" spans="1:14" x14ac:dyDescent="0.3">
      <c r="A22" s="9" t="s">
        <v>11</v>
      </c>
      <c r="B22" s="9">
        <v>2023</v>
      </c>
      <c r="C22" s="9" t="s">
        <v>195</v>
      </c>
      <c r="D22" s="9" t="s">
        <v>342</v>
      </c>
      <c r="E22" s="11">
        <f t="shared" si="0"/>
        <v>56100000</v>
      </c>
      <c r="F22" s="9" t="s">
        <v>170</v>
      </c>
      <c r="G22" s="9" t="s">
        <v>196</v>
      </c>
      <c r="H22" s="9" t="s">
        <v>765</v>
      </c>
      <c r="I22" s="11">
        <f>IF(RIGHT(Table2[[#This Row],[Top 2 Export Value]],1)="M",VALUE(LEFT(Table2[[#This Row],[Top 2 Export Value]],LEN(Table2[[#This Row],[Top 2 Export Value]])-1))*1000000,IF(RIGHT(Table2[[#This Row],[Top 2 Export Value]],1)="B",VALUE(LEFT(Table2[[#This Row],[Top 2 Export Value]],LEN(Table2[[#This Row],[Top 2 Export Value]])-1))*1000000000,IF(RIGHT(D22,1)="k",VALUE(LEFT(Table2[[#This Row],[Top 2 Export Value]],LEN(Table2[[#This Row],[Top 2 Export Value]])-1))*1000,Table2[[#This Row],[Top 2 Export Value]])))</f>
        <v>8620000</v>
      </c>
      <c r="J22" s="9" t="s">
        <v>170</v>
      </c>
      <c r="K22" s="9" t="s">
        <v>197</v>
      </c>
      <c r="L22" s="9" t="s">
        <v>764</v>
      </c>
      <c r="M2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5680000</v>
      </c>
      <c r="N22" s="9" t="s">
        <v>170</v>
      </c>
    </row>
    <row r="23" spans="1:14" x14ac:dyDescent="0.3">
      <c r="A23" s="9" t="s">
        <v>12</v>
      </c>
      <c r="B23" s="9">
        <v>2021</v>
      </c>
      <c r="C23" s="9" t="s">
        <v>199</v>
      </c>
      <c r="D23" s="9" t="s">
        <v>766</v>
      </c>
      <c r="E23" s="11">
        <f t="shared" si="0"/>
        <v>572000000</v>
      </c>
      <c r="F23" s="9" t="s">
        <v>277</v>
      </c>
      <c r="G23" s="9" t="s">
        <v>190</v>
      </c>
      <c r="H23" s="9" t="s">
        <v>377</v>
      </c>
      <c r="I23" s="11">
        <f>IF(RIGHT(Table2[[#This Row],[Top 2 Export Value]],1)="M",VALUE(LEFT(Table2[[#This Row],[Top 2 Export Value]],LEN(Table2[[#This Row],[Top 2 Export Value]])-1))*1000000,IF(RIGHT(Table2[[#This Row],[Top 2 Export Value]],1)="B",VALUE(LEFT(Table2[[#This Row],[Top 2 Export Value]],LEN(Table2[[#This Row],[Top 2 Export Value]])-1))*1000000000,IF(RIGHT(D23,1)="k",VALUE(LEFT(Table2[[#This Row],[Top 2 Export Value]],LEN(Table2[[#This Row],[Top 2 Export Value]])-1))*1000,Table2[[#This Row],[Top 2 Export Value]])))</f>
        <v>250000000</v>
      </c>
      <c r="J23" s="9" t="s">
        <v>272</v>
      </c>
      <c r="K23" s="9" t="s">
        <v>200</v>
      </c>
      <c r="L23" s="9" t="s">
        <v>695</v>
      </c>
      <c r="M2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153000000</v>
      </c>
      <c r="N23" s="9" t="s">
        <v>278</v>
      </c>
    </row>
    <row r="24" spans="1:14" x14ac:dyDescent="0.3">
      <c r="A24" s="9" t="s">
        <v>12</v>
      </c>
      <c r="B24" s="9">
        <v>2022</v>
      </c>
      <c r="C24" s="9" t="s">
        <v>199</v>
      </c>
      <c r="D24" s="9" t="s">
        <v>767</v>
      </c>
      <c r="E24" s="11">
        <f t="shared" si="0"/>
        <v>482400000</v>
      </c>
      <c r="F24" s="9" t="s">
        <v>277</v>
      </c>
      <c r="G24" s="9" t="s">
        <v>200</v>
      </c>
      <c r="H24" s="9" t="s">
        <v>768</v>
      </c>
      <c r="I24" s="11">
        <f>IF(RIGHT(Table2[[#This Row],[Top 2 Export Value]],1)="M",VALUE(LEFT(Table2[[#This Row],[Top 2 Export Value]],LEN(Table2[[#This Row],[Top 2 Export Value]])-1))*1000000,IF(RIGHT(Table2[[#This Row],[Top 2 Export Value]],1)="B",VALUE(LEFT(Table2[[#This Row],[Top 2 Export Value]],LEN(Table2[[#This Row],[Top 2 Export Value]])-1))*1000000000,IF(RIGHT(D24,1)="k",VALUE(LEFT(Table2[[#This Row],[Top 2 Export Value]],LEN(Table2[[#This Row],[Top 2 Export Value]])-1))*1000,Table2[[#This Row],[Top 2 Export Value]])))</f>
        <v>159000000</v>
      </c>
      <c r="J24" s="9" t="s">
        <v>160</v>
      </c>
      <c r="K24" s="9" t="s">
        <v>201</v>
      </c>
      <c r="L24" s="9" t="s">
        <v>689</v>
      </c>
      <c r="M2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121000000</v>
      </c>
      <c r="N24" s="9" t="s">
        <v>270</v>
      </c>
    </row>
    <row r="25" spans="1:14" x14ac:dyDescent="0.3">
      <c r="A25" s="9" t="s">
        <v>12</v>
      </c>
      <c r="B25" s="9">
        <v>2023</v>
      </c>
      <c r="C25" s="9" t="s">
        <v>199</v>
      </c>
      <c r="D25" s="9" t="s">
        <v>769</v>
      </c>
      <c r="E25" s="11">
        <f t="shared" si="0"/>
        <v>719000000</v>
      </c>
      <c r="F25" s="9" t="s">
        <v>277</v>
      </c>
      <c r="G25" s="9" t="s">
        <v>200</v>
      </c>
      <c r="H25" s="9" t="s">
        <v>714</v>
      </c>
      <c r="I25" s="11">
        <f>IF(RIGHT(Table2[[#This Row],[Top 2 Export Value]],1)="M",VALUE(LEFT(Table2[[#This Row],[Top 2 Export Value]],LEN(Table2[[#This Row],[Top 2 Export Value]])-1))*1000000,IF(RIGHT(Table2[[#This Row],[Top 2 Export Value]],1)="B",VALUE(LEFT(Table2[[#This Row],[Top 2 Export Value]],LEN(Table2[[#This Row],[Top 2 Export Value]])-1))*1000000000,IF(RIGHT(D25,1)="k",VALUE(LEFT(Table2[[#This Row],[Top 2 Export Value]],LEN(Table2[[#This Row],[Top 2 Export Value]])-1))*1000,Table2[[#This Row],[Top 2 Export Value]])))</f>
        <v>140000000</v>
      </c>
      <c r="J25" s="9" t="s">
        <v>270</v>
      </c>
      <c r="K25" s="9" t="s">
        <v>202</v>
      </c>
      <c r="L25" s="9" t="s">
        <v>770</v>
      </c>
      <c r="M2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128000000</v>
      </c>
      <c r="N25" s="9" t="s">
        <v>137</v>
      </c>
    </row>
    <row r="26" spans="1:14" x14ac:dyDescent="0.3">
      <c r="A26" s="9" t="s">
        <v>13</v>
      </c>
      <c r="B26" s="9">
        <v>2021</v>
      </c>
      <c r="C26" s="9" t="s">
        <v>84</v>
      </c>
      <c r="D26" s="9" t="s">
        <v>771</v>
      </c>
      <c r="E26" s="11">
        <f t="shared" si="0"/>
        <v>115000</v>
      </c>
      <c r="F26" s="9" t="s">
        <v>43</v>
      </c>
      <c r="G26" s="9" t="s">
        <v>203</v>
      </c>
      <c r="H26" s="9" t="s">
        <v>772</v>
      </c>
      <c r="I26" s="11">
        <f>IF(RIGHT(Table2[[#This Row],[Top 2 Export Value]],1)="M",VALUE(LEFT(Table2[[#This Row],[Top 2 Export Value]],LEN(Table2[[#This Row],[Top 2 Export Value]])-1))*1000000,IF(RIGHT(Table2[[#This Row],[Top 2 Export Value]],1)="B",VALUE(LEFT(Table2[[#This Row],[Top 2 Export Value]],LEN(Table2[[#This Row],[Top 2 Export Value]])-1))*1000000000,IF(RIGHT(D26,1)="k",VALUE(LEFT(Table2[[#This Row],[Top 2 Export Value]],LEN(Table2[[#This Row],[Top 2 Export Value]])-1))*1000,Table2[[#This Row],[Top 2 Export Value]])))</f>
        <v>50000</v>
      </c>
      <c r="J26" s="9" t="s">
        <v>14</v>
      </c>
      <c r="K26" s="9" t="s">
        <v>64</v>
      </c>
      <c r="L26" s="9" t="s">
        <v>773</v>
      </c>
      <c r="M2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20000</v>
      </c>
      <c r="N26" s="9" t="s">
        <v>14</v>
      </c>
    </row>
    <row r="27" spans="1:14" x14ac:dyDescent="0.3">
      <c r="A27" s="9" t="s">
        <v>13</v>
      </c>
      <c r="B27" s="9">
        <v>2022</v>
      </c>
      <c r="C27" s="9" t="s">
        <v>204</v>
      </c>
      <c r="D27" s="9" t="s">
        <v>774</v>
      </c>
      <c r="E27" s="11">
        <f t="shared" si="0"/>
        <v>1400000</v>
      </c>
      <c r="F27" s="9" t="s">
        <v>279</v>
      </c>
      <c r="G27" s="9" t="s">
        <v>205</v>
      </c>
      <c r="H27" s="9" t="s">
        <v>1071</v>
      </c>
      <c r="I27" s="11">
        <f>IF(RIGHT(Table2[[#This Row],[Top 2 Export Value]],1)="M",VALUE(LEFT(Table2[[#This Row],[Top 2 Export Value]],LEN(Table2[[#This Row],[Top 2 Export Value]])-1))*1000000,IF(RIGHT(Table2[[#This Row],[Top 2 Export Value]],1)="B",VALUE(LEFT(Table2[[#This Row],[Top 2 Export Value]],LEN(Table2[[#This Row],[Top 2 Export Value]])-1))*1000000000,IF(RIGHT(D27,1)="k",VALUE(LEFT(Table2[[#This Row],[Top 2 Export Value]],LEN(Table2[[#This Row],[Top 2 Export Value]])-1))*1000,Table2[[#This Row],[Top 2 Export Value]])))</f>
        <v>68000</v>
      </c>
      <c r="J27" s="9" t="s">
        <v>164</v>
      </c>
      <c r="K27" s="9" t="s">
        <v>206</v>
      </c>
      <c r="L27" s="9" t="s">
        <v>773</v>
      </c>
      <c r="M2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20000</v>
      </c>
      <c r="N27" s="9" t="s">
        <v>270</v>
      </c>
    </row>
    <row r="28" spans="1:14" x14ac:dyDescent="0.3">
      <c r="A28" s="9" t="s">
        <v>13</v>
      </c>
      <c r="B28" s="9">
        <v>2023</v>
      </c>
      <c r="C28" s="9" t="s">
        <v>207</v>
      </c>
      <c r="D28" s="9" t="s">
        <v>775</v>
      </c>
      <c r="E28" s="11">
        <f t="shared" si="0"/>
        <v>943000</v>
      </c>
      <c r="F28" s="9" t="s">
        <v>170</v>
      </c>
      <c r="G28" s="9" t="s">
        <v>204</v>
      </c>
      <c r="H28" s="9" t="s">
        <v>776</v>
      </c>
      <c r="I28" s="11">
        <f>IF(RIGHT(Table2[[#This Row],[Top 2 Export Value]],1)="M",VALUE(LEFT(Table2[[#This Row],[Top 2 Export Value]],LEN(Table2[[#This Row],[Top 2 Export Value]])-1))*1000000,IF(RIGHT(Table2[[#This Row],[Top 2 Export Value]],1)="B",VALUE(LEFT(Table2[[#This Row],[Top 2 Export Value]],LEN(Table2[[#This Row],[Top 2 Export Value]])-1))*1000000000,IF(RIGHT(D28,1)="k",VALUE(LEFT(Table2[[#This Row],[Top 2 Export Value]],LEN(Table2[[#This Row],[Top 2 Export Value]])-1))*1000,Table2[[#This Row],[Top 2 Export Value]])))</f>
        <v>905000</v>
      </c>
      <c r="J28" s="9" t="s">
        <v>279</v>
      </c>
      <c r="K28" s="9" t="s">
        <v>84</v>
      </c>
      <c r="L28" s="9" t="s">
        <v>777</v>
      </c>
      <c r="M2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262000</v>
      </c>
      <c r="N28" s="9" t="s">
        <v>43</v>
      </c>
    </row>
    <row r="29" spans="1:14" x14ac:dyDescent="0.3">
      <c r="A29" s="9" t="s">
        <v>14</v>
      </c>
      <c r="B29" s="9">
        <v>2021</v>
      </c>
      <c r="C29" s="9" t="s">
        <v>208</v>
      </c>
      <c r="D29" s="9" t="s">
        <v>778</v>
      </c>
      <c r="E29" s="11">
        <f t="shared" si="0"/>
        <v>131000000</v>
      </c>
      <c r="F29" s="9" t="s">
        <v>145</v>
      </c>
      <c r="G29" s="9" t="s">
        <v>209</v>
      </c>
      <c r="H29" s="9" t="s">
        <v>402</v>
      </c>
      <c r="I29" s="11">
        <f>IF(RIGHT(Table2[[#This Row],[Top 2 Export Value]],1)="M",VALUE(LEFT(Table2[[#This Row],[Top 2 Export Value]],LEN(Table2[[#This Row],[Top 2 Export Value]])-1))*1000000,IF(RIGHT(Table2[[#This Row],[Top 2 Export Value]],1)="B",VALUE(LEFT(Table2[[#This Row],[Top 2 Export Value]],LEN(Table2[[#This Row],[Top 2 Export Value]])-1))*1000000000,IF(RIGHT(D29,1)="k",VALUE(LEFT(Table2[[#This Row],[Top 2 Export Value]],LEN(Table2[[#This Row],[Top 2 Export Value]])-1))*1000,Table2[[#This Row],[Top 2 Export Value]])))</f>
        <v>20400000</v>
      </c>
      <c r="J29" s="9" t="s">
        <v>270</v>
      </c>
      <c r="K29" s="9" t="s">
        <v>190</v>
      </c>
      <c r="L29" s="9" t="s">
        <v>779</v>
      </c>
      <c r="M2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6970000</v>
      </c>
      <c r="N29" s="9" t="s">
        <v>155</v>
      </c>
    </row>
    <row r="30" spans="1:14" x14ac:dyDescent="0.3">
      <c r="A30" s="9" t="s">
        <v>14</v>
      </c>
      <c r="B30" s="9">
        <v>2022</v>
      </c>
      <c r="C30" s="9" t="s">
        <v>208</v>
      </c>
      <c r="D30" s="9" t="s">
        <v>546</v>
      </c>
      <c r="E30" s="11">
        <f t="shared" si="0"/>
        <v>115000000</v>
      </c>
      <c r="F30" s="9" t="s">
        <v>145</v>
      </c>
      <c r="G30" s="9" t="s">
        <v>190</v>
      </c>
      <c r="H30" s="9" t="s">
        <v>780</v>
      </c>
      <c r="I30" s="11">
        <f>IF(RIGHT(Table2[[#This Row],[Top 2 Export Value]],1)="M",VALUE(LEFT(Table2[[#This Row],[Top 2 Export Value]],LEN(Table2[[#This Row],[Top 2 Export Value]])-1))*1000000,IF(RIGHT(Table2[[#This Row],[Top 2 Export Value]],1)="B",VALUE(LEFT(Table2[[#This Row],[Top 2 Export Value]],LEN(Table2[[#This Row],[Top 2 Export Value]])-1))*1000000000,IF(RIGHT(D30,1)="k",VALUE(LEFT(Table2[[#This Row],[Top 2 Export Value]],LEN(Table2[[#This Row],[Top 2 Export Value]])-1))*1000,Table2[[#This Row],[Top 2 Export Value]])))</f>
        <v>31900000</v>
      </c>
      <c r="J30" s="9" t="s">
        <v>155</v>
      </c>
      <c r="K30" s="9" t="s">
        <v>209</v>
      </c>
      <c r="L30" s="9" t="s">
        <v>781</v>
      </c>
      <c r="M3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31000000</v>
      </c>
      <c r="N30" s="9" t="s">
        <v>270</v>
      </c>
    </row>
    <row r="31" spans="1:14" x14ac:dyDescent="0.3">
      <c r="A31" s="9" t="s">
        <v>14</v>
      </c>
      <c r="B31" s="9">
        <v>2023</v>
      </c>
      <c r="C31" s="9" t="s">
        <v>208</v>
      </c>
      <c r="D31" s="9" t="s">
        <v>782</v>
      </c>
      <c r="E31" s="11">
        <f t="shared" si="0"/>
        <v>169000000</v>
      </c>
      <c r="F31" s="9" t="s">
        <v>145</v>
      </c>
      <c r="G31" s="9" t="s">
        <v>209</v>
      </c>
      <c r="H31" s="9" t="s">
        <v>660</v>
      </c>
      <c r="I31" s="11">
        <f>IF(RIGHT(Table2[[#This Row],[Top 2 Export Value]],1)="M",VALUE(LEFT(Table2[[#This Row],[Top 2 Export Value]],LEN(Table2[[#This Row],[Top 2 Export Value]])-1))*1000000,IF(RIGHT(Table2[[#This Row],[Top 2 Export Value]],1)="B",VALUE(LEFT(Table2[[#This Row],[Top 2 Export Value]],LEN(Table2[[#This Row],[Top 2 Export Value]])-1))*1000000000,IF(RIGHT(D31,1)="k",VALUE(LEFT(Table2[[#This Row],[Top 2 Export Value]],LEN(Table2[[#This Row],[Top 2 Export Value]])-1))*1000,Table2[[#This Row],[Top 2 Export Value]])))</f>
        <v>27800000</v>
      </c>
      <c r="J31" s="9" t="s">
        <v>270</v>
      </c>
      <c r="K31" s="9" t="s">
        <v>190</v>
      </c>
      <c r="L31" s="9" t="s">
        <v>783</v>
      </c>
      <c r="M3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11900000</v>
      </c>
      <c r="N31" s="9" t="s">
        <v>129</v>
      </c>
    </row>
    <row r="32" spans="1:14" x14ac:dyDescent="0.3">
      <c r="A32" s="9" t="s">
        <v>15</v>
      </c>
      <c r="B32" s="9">
        <v>2021</v>
      </c>
      <c r="C32" s="9" t="s">
        <v>210</v>
      </c>
      <c r="D32" s="9" t="s">
        <v>784</v>
      </c>
      <c r="E32" s="11">
        <f t="shared" si="0"/>
        <v>19800000</v>
      </c>
      <c r="F32" s="9" t="s">
        <v>164</v>
      </c>
      <c r="G32" s="9" t="s">
        <v>211</v>
      </c>
      <c r="H32" s="9" t="s">
        <v>386</v>
      </c>
      <c r="I32" s="11">
        <f>IF(RIGHT(Table2[[#This Row],[Top 2 Export Value]],1)="M",VALUE(LEFT(Table2[[#This Row],[Top 2 Export Value]],LEN(Table2[[#This Row],[Top 2 Export Value]])-1))*1000000,IF(RIGHT(Table2[[#This Row],[Top 2 Export Value]],1)="B",VALUE(LEFT(Table2[[#This Row],[Top 2 Export Value]],LEN(Table2[[#This Row],[Top 2 Export Value]])-1))*1000000000,IF(RIGHT(D32,1)="k",VALUE(LEFT(Table2[[#This Row],[Top 2 Export Value]],LEN(Table2[[#This Row],[Top 2 Export Value]])-1))*1000,Table2[[#This Row],[Top 2 Export Value]])))</f>
        <v>10300000</v>
      </c>
      <c r="J32" s="9" t="s">
        <v>270</v>
      </c>
      <c r="K32" s="9" t="s">
        <v>212</v>
      </c>
      <c r="L32" s="9" t="s">
        <v>785</v>
      </c>
      <c r="M3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5690000</v>
      </c>
      <c r="N32" s="9" t="s">
        <v>143</v>
      </c>
    </row>
    <row r="33" spans="1:14" x14ac:dyDescent="0.3">
      <c r="A33" s="9" t="s">
        <v>15</v>
      </c>
      <c r="B33" s="9">
        <v>2022</v>
      </c>
      <c r="C33" s="9" t="s">
        <v>210</v>
      </c>
      <c r="D33" s="9" t="s">
        <v>786</v>
      </c>
      <c r="E33" s="11">
        <f t="shared" si="0"/>
        <v>13800000</v>
      </c>
      <c r="F33" s="9" t="s">
        <v>164</v>
      </c>
      <c r="G33" s="9" t="s">
        <v>211</v>
      </c>
      <c r="H33" s="9" t="s">
        <v>787</v>
      </c>
      <c r="I33" s="11">
        <f>IF(RIGHT(Table2[[#This Row],[Top 2 Export Value]],1)="M",VALUE(LEFT(Table2[[#This Row],[Top 2 Export Value]],LEN(Table2[[#This Row],[Top 2 Export Value]])-1))*1000000,IF(RIGHT(Table2[[#This Row],[Top 2 Export Value]],1)="B",VALUE(LEFT(Table2[[#This Row],[Top 2 Export Value]],LEN(Table2[[#This Row],[Top 2 Export Value]])-1))*1000000000,IF(RIGHT(D33,1)="k",VALUE(LEFT(Table2[[#This Row],[Top 2 Export Value]],LEN(Table2[[#This Row],[Top 2 Export Value]])-1))*1000,Table2[[#This Row],[Top 2 Export Value]])))</f>
        <v>6400000</v>
      </c>
      <c r="J33" s="9" t="s">
        <v>270</v>
      </c>
      <c r="K33" s="9" t="s">
        <v>212</v>
      </c>
      <c r="L33" s="9" t="s">
        <v>788</v>
      </c>
      <c r="M3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4700000</v>
      </c>
      <c r="N33" s="9" t="s">
        <v>270</v>
      </c>
    </row>
    <row r="34" spans="1:14" x14ac:dyDescent="0.3">
      <c r="A34" s="9" t="s">
        <v>15</v>
      </c>
      <c r="B34" s="9">
        <v>2023</v>
      </c>
      <c r="C34" s="9" t="s">
        <v>210</v>
      </c>
      <c r="D34" s="9" t="s">
        <v>789</v>
      </c>
      <c r="E34" s="11">
        <f t="shared" ref="E34:E65" si="1">IF(RIGHT(D34,1)="M",VALUE(LEFT(D34,LEN(D34)-1))*1000000,IF(RIGHT(D34,1)="B",VALUE(LEFT(D34,LEN(D34)-1))*1000000000,IF(RIGHT(D34,1)="K",VALUE(LEFT(D34,LEN(D34)-1))*1000,D34)))</f>
        <v>65599999.999999993</v>
      </c>
      <c r="F34" s="9" t="s">
        <v>155</v>
      </c>
      <c r="G34" s="9" t="s">
        <v>211</v>
      </c>
      <c r="H34" s="9" t="s">
        <v>790</v>
      </c>
      <c r="I34" s="11">
        <f>IF(RIGHT(Table2[[#This Row],[Top 2 Export Value]],1)="M",VALUE(LEFT(Table2[[#This Row],[Top 2 Export Value]],LEN(Table2[[#This Row],[Top 2 Export Value]])-1))*1000000,IF(RIGHT(Table2[[#This Row],[Top 2 Export Value]],1)="B",VALUE(LEFT(Table2[[#This Row],[Top 2 Export Value]],LEN(Table2[[#This Row],[Top 2 Export Value]])-1))*1000000000,IF(RIGHT(D34,1)="k",VALUE(LEFT(Table2[[#This Row],[Top 2 Export Value]],LEN(Table2[[#This Row],[Top 2 Export Value]])-1))*1000,Table2[[#This Row],[Top 2 Export Value]])))</f>
        <v>5010000</v>
      </c>
      <c r="J34" s="9" t="s">
        <v>270</v>
      </c>
      <c r="K34" s="9" t="s">
        <v>212</v>
      </c>
      <c r="L34" s="9" t="s">
        <v>791</v>
      </c>
      <c r="M3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3450000</v>
      </c>
      <c r="N34" s="9" t="s">
        <v>280</v>
      </c>
    </row>
    <row r="35" spans="1:14" x14ac:dyDescent="0.3">
      <c r="A35" s="9" t="s">
        <v>16</v>
      </c>
      <c r="B35" s="9">
        <v>2021</v>
      </c>
      <c r="C35" s="9" t="s">
        <v>199</v>
      </c>
      <c r="D35" s="9" t="s">
        <v>792</v>
      </c>
      <c r="E35" s="11">
        <f t="shared" si="1"/>
        <v>41900000</v>
      </c>
      <c r="F35" s="9" t="s">
        <v>164</v>
      </c>
      <c r="G35" s="9" t="s">
        <v>193</v>
      </c>
      <c r="H35" s="9" t="s">
        <v>786</v>
      </c>
      <c r="I35" s="11">
        <f>IF(RIGHT(Table2[[#This Row],[Top 2 Export Value]],1)="M",VALUE(LEFT(Table2[[#This Row],[Top 2 Export Value]],LEN(Table2[[#This Row],[Top 2 Export Value]])-1))*1000000,IF(RIGHT(Table2[[#This Row],[Top 2 Export Value]],1)="B",VALUE(LEFT(Table2[[#This Row],[Top 2 Export Value]],LEN(Table2[[#This Row],[Top 2 Export Value]])-1))*1000000000,IF(RIGHT(D35,1)="k",VALUE(LEFT(Table2[[#This Row],[Top 2 Export Value]],LEN(Table2[[#This Row],[Top 2 Export Value]])-1))*1000,Table2[[#This Row],[Top 2 Export Value]])))</f>
        <v>13800000</v>
      </c>
      <c r="J35" s="9" t="s">
        <v>281</v>
      </c>
      <c r="K35" s="9" t="s">
        <v>75</v>
      </c>
      <c r="L35" s="9" t="s">
        <v>793</v>
      </c>
      <c r="M3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6590000</v>
      </c>
      <c r="N35" s="9" t="s">
        <v>13</v>
      </c>
    </row>
    <row r="36" spans="1:14" x14ac:dyDescent="0.3">
      <c r="A36" s="9" t="s">
        <v>16</v>
      </c>
      <c r="B36" s="9">
        <v>2022</v>
      </c>
      <c r="C36" s="9" t="s">
        <v>199</v>
      </c>
      <c r="D36" s="9" t="s">
        <v>739</v>
      </c>
      <c r="E36" s="11">
        <f t="shared" si="1"/>
        <v>22000000</v>
      </c>
      <c r="F36" s="9" t="s">
        <v>156</v>
      </c>
      <c r="G36" s="9" t="s">
        <v>193</v>
      </c>
      <c r="H36" s="9" t="s">
        <v>794</v>
      </c>
      <c r="I36" s="11">
        <f>IF(RIGHT(Table2[[#This Row],[Top 2 Export Value]],1)="M",VALUE(LEFT(Table2[[#This Row],[Top 2 Export Value]],LEN(Table2[[#This Row],[Top 2 Export Value]])-1))*1000000,IF(RIGHT(Table2[[#This Row],[Top 2 Export Value]],1)="B",VALUE(LEFT(Table2[[#This Row],[Top 2 Export Value]],LEN(Table2[[#This Row],[Top 2 Export Value]])-1))*1000000000,IF(RIGHT(D36,1)="k",VALUE(LEFT(Table2[[#This Row],[Top 2 Export Value]],LEN(Table2[[#This Row],[Top 2 Export Value]])-1))*1000,Table2[[#This Row],[Top 2 Export Value]])))</f>
        <v>13200000</v>
      </c>
      <c r="J36" s="9" t="s">
        <v>281</v>
      </c>
      <c r="K36" s="9" t="s">
        <v>213</v>
      </c>
      <c r="L36" s="9" t="s">
        <v>795</v>
      </c>
      <c r="M3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6540000</v>
      </c>
      <c r="N36" s="9" t="s">
        <v>39</v>
      </c>
    </row>
    <row r="37" spans="1:14" x14ac:dyDescent="0.3">
      <c r="A37" s="9" t="s">
        <v>16</v>
      </c>
      <c r="B37" s="9">
        <v>2023</v>
      </c>
      <c r="C37" s="9" t="s">
        <v>199</v>
      </c>
      <c r="D37" s="9" t="s">
        <v>796</v>
      </c>
      <c r="E37" s="11">
        <f t="shared" si="1"/>
        <v>32000000</v>
      </c>
      <c r="F37" s="9" t="s">
        <v>137</v>
      </c>
      <c r="G37" s="9" t="s">
        <v>193</v>
      </c>
      <c r="H37" s="9" t="s">
        <v>797</v>
      </c>
      <c r="I37" s="11">
        <f>IF(RIGHT(Table2[[#This Row],[Top 2 Export Value]],1)="M",VALUE(LEFT(Table2[[#This Row],[Top 2 Export Value]],LEN(Table2[[#This Row],[Top 2 Export Value]])-1))*1000000,IF(RIGHT(Table2[[#This Row],[Top 2 Export Value]],1)="B",VALUE(LEFT(Table2[[#This Row],[Top 2 Export Value]],LEN(Table2[[#This Row],[Top 2 Export Value]])-1))*1000000000,IF(RIGHT(D37,1)="k",VALUE(LEFT(Table2[[#This Row],[Top 2 Export Value]],LEN(Table2[[#This Row],[Top 2 Export Value]])-1))*1000,Table2[[#This Row],[Top 2 Export Value]])))</f>
        <v>11100000</v>
      </c>
      <c r="J37" s="9" t="s">
        <v>281</v>
      </c>
      <c r="K37" s="9" t="s">
        <v>182</v>
      </c>
      <c r="L37" s="9" t="s">
        <v>798</v>
      </c>
      <c r="M3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5600000</v>
      </c>
      <c r="N37" s="9" t="s">
        <v>39</v>
      </c>
    </row>
    <row r="38" spans="1:14" x14ac:dyDescent="0.3">
      <c r="A38" s="9" t="s">
        <v>17</v>
      </c>
      <c r="B38" s="9">
        <v>2021</v>
      </c>
      <c r="C38" s="9" t="s">
        <v>199</v>
      </c>
      <c r="D38" s="9" t="s">
        <v>799</v>
      </c>
      <c r="E38" s="11">
        <f t="shared" si="1"/>
        <v>3200000000</v>
      </c>
      <c r="F38" s="9" t="s">
        <v>137</v>
      </c>
      <c r="G38" s="9" t="s">
        <v>214</v>
      </c>
      <c r="H38" s="9" t="s">
        <v>800</v>
      </c>
      <c r="I38" s="11">
        <f>IF(RIGHT(Table2[[#This Row],[Top 2 Export Value]],1)="M",VALUE(LEFT(Table2[[#This Row],[Top 2 Export Value]],LEN(Table2[[#This Row],[Top 2 Export Value]])-1))*1000000,IF(RIGHT(Table2[[#This Row],[Top 2 Export Value]],1)="B",VALUE(LEFT(Table2[[#This Row],[Top 2 Export Value]],LEN(Table2[[#This Row],[Top 2 Export Value]])-1))*1000000000,IF(RIGHT(D38,1)="k",VALUE(LEFT(Table2[[#This Row],[Top 2 Export Value]],LEN(Table2[[#This Row],[Top 2 Export Value]])-1))*1000,Table2[[#This Row],[Top 2 Export Value]])))</f>
        <v>1600000000</v>
      </c>
      <c r="J38" s="9" t="s">
        <v>279</v>
      </c>
      <c r="K38" s="9" t="s">
        <v>215</v>
      </c>
      <c r="L38" s="9" t="s">
        <v>801</v>
      </c>
      <c r="M3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817300000</v>
      </c>
      <c r="N38" s="9" t="s">
        <v>282</v>
      </c>
    </row>
    <row r="39" spans="1:14" x14ac:dyDescent="0.3">
      <c r="A39" s="9" t="s">
        <v>17</v>
      </c>
      <c r="B39" s="9">
        <v>2022</v>
      </c>
      <c r="C39" s="9" t="s">
        <v>199</v>
      </c>
      <c r="D39" s="9" t="s">
        <v>802</v>
      </c>
      <c r="E39" s="11">
        <f t="shared" si="1"/>
        <v>4300000000</v>
      </c>
      <c r="F39" s="9" t="s">
        <v>137</v>
      </c>
      <c r="G39" s="9" t="s">
        <v>214</v>
      </c>
      <c r="H39" s="9" t="s">
        <v>803</v>
      </c>
      <c r="I39" s="11">
        <f>IF(RIGHT(Table2[[#This Row],[Top 2 Export Value]],1)="M",VALUE(LEFT(Table2[[#This Row],[Top 2 Export Value]],LEN(Table2[[#This Row],[Top 2 Export Value]])-1))*1000000,IF(RIGHT(Table2[[#This Row],[Top 2 Export Value]],1)="B",VALUE(LEFT(Table2[[#This Row],[Top 2 Export Value]],LEN(Table2[[#This Row],[Top 2 Export Value]])-1))*1000000000,IF(RIGHT(D39,1)="k",VALUE(LEFT(Table2[[#This Row],[Top 2 Export Value]],LEN(Table2[[#This Row],[Top 2 Export Value]])-1))*1000,Table2[[#This Row],[Top 2 Export Value]])))</f>
        <v>1400000000</v>
      </c>
      <c r="J39" s="9" t="s">
        <v>279</v>
      </c>
      <c r="K39" s="9" t="s">
        <v>215</v>
      </c>
      <c r="L39" s="9" t="s">
        <v>804</v>
      </c>
      <c r="M3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937100000</v>
      </c>
      <c r="N39" s="9" t="s">
        <v>282</v>
      </c>
    </row>
    <row r="40" spans="1:14" x14ac:dyDescent="0.3">
      <c r="A40" s="9" t="s">
        <v>17</v>
      </c>
      <c r="B40" s="9">
        <v>2023</v>
      </c>
      <c r="C40" s="9" t="s">
        <v>199</v>
      </c>
      <c r="D40" s="9" t="s">
        <v>805</v>
      </c>
      <c r="E40" s="11">
        <f t="shared" si="1"/>
        <v>3300000000</v>
      </c>
      <c r="F40" s="9" t="s">
        <v>137</v>
      </c>
      <c r="G40" s="9" t="s">
        <v>214</v>
      </c>
      <c r="H40" s="9" t="s">
        <v>806</v>
      </c>
      <c r="I40" s="11">
        <f>IF(RIGHT(Table2[[#This Row],[Top 2 Export Value]],1)="M",VALUE(LEFT(Table2[[#This Row],[Top 2 Export Value]],LEN(Table2[[#This Row],[Top 2 Export Value]])-1))*1000000,IF(RIGHT(Table2[[#This Row],[Top 2 Export Value]],1)="B",VALUE(LEFT(Table2[[#This Row],[Top 2 Export Value]],LEN(Table2[[#This Row],[Top 2 Export Value]])-1))*1000000000,IF(RIGHT(D40,1)="k",VALUE(LEFT(Table2[[#This Row],[Top 2 Export Value]],LEN(Table2[[#This Row],[Top 2 Export Value]])-1))*1000,Table2[[#This Row],[Top 2 Export Value]])))</f>
        <v>1700000000</v>
      </c>
      <c r="J40" s="9" t="s">
        <v>279</v>
      </c>
      <c r="K40" s="9" t="s">
        <v>215</v>
      </c>
      <c r="L40" s="9" t="s">
        <v>807</v>
      </c>
      <c r="M4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1000000000</v>
      </c>
      <c r="N40" s="9" t="s">
        <v>282</v>
      </c>
    </row>
    <row r="41" spans="1:14" x14ac:dyDescent="0.3">
      <c r="A41" s="9" t="s">
        <v>18</v>
      </c>
      <c r="B41" s="9">
        <v>2021</v>
      </c>
      <c r="C41" s="9" t="s">
        <v>199</v>
      </c>
      <c r="D41" s="9" t="s">
        <v>808</v>
      </c>
      <c r="E41" s="11">
        <f t="shared" si="1"/>
        <v>109000000</v>
      </c>
      <c r="F41" s="9" t="s">
        <v>164</v>
      </c>
      <c r="G41" s="9" t="s">
        <v>193</v>
      </c>
      <c r="H41" s="9" t="s">
        <v>809</v>
      </c>
      <c r="I41" s="11">
        <f>IF(RIGHT(Table2[[#This Row],[Top 2 Export Value]],1)="M",VALUE(LEFT(Table2[[#This Row],[Top 2 Export Value]],LEN(Table2[[#This Row],[Top 2 Export Value]])-1))*1000000,IF(RIGHT(Table2[[#This Row],[Top 2 Export Value]],1)="B",VALUE(LEFT(Table2[[#This Row],[Top 2 Export Value]],LEN(Table2[[#This Row],[Top 2 Export Value]])-1))*1000000000,IF(RIGHT(D41,1)="k",VALUE(LEFT(Table2[[#This Row],[Top 2 Export Value]],LEN(Table2[[#This Row],[Top 2 Export Value]])-1))*1000,Table2[[#This Row],[Top 2 Export Value]])))</f>
        <v>29200000</v>
      </c>
      <c r="J41" s="9" t="s">
        <v>281</v>
      </c>
      <c r="K41" s="9" t="s">
        <v>182</v>
      </c>
      <c r="L41" s="9" t="s">
        <v>810</v>
      </c>
      <c r="M4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16399999.999999998</v>
      </c>
      <c r="N41" s="9" t="s">
        <v>39</v>
      </c>
    </row>
    <row r="42" spans="1:14" x14ac:dyDescent="0.3">
      <c r="A42" s="9" t="s">
        <v>18</v>
      </c>
      <c r="B42" s="9">
        <v>2022</v>
      </c>
      <c r="C42" s="9" t="s">
        <v>199</v>
      </c>
      <c r="D42" s="9" t="s">
        <v>561</v>
      </c>
      <c r="E42" s="11">
        <f t="shared" si="1"/>
        <v>102000000</v>
      </c>
      <c r="F42" s="9" t="s">
        <v>164</v>
      </c>
      <c r="G42" s="9" t="s">
        <v>193</v>
      </c>
      <c r="H42" s="9" t="s">
        <v>811</v>
      </c>
      <c r="I42" s="11">
        <f>IF(RIGHT(Table2[[#This Row],[Top 2 Export Value]],1)="M",VALUE(LEFT(Table2[[#This Row],[Top 2 Export Value]],LEN(Table2[[#This Row],[Top 2 Export Value]])-1))*1000000,IF(RIGHT(Table2[[#This Row],[Top 2 Export Value]],1)="B",VALUE(LEFT(Table2[[#This Row],[Top 2 Export Value]],LEN(Table2[[#This Row],[Top 2 Export Value]])-1))*1000000000,IF(RIGHT(D42,1)="k",VALUE(LEFT(Table2[[#This Row],[Top 2 Export Value]],LEN(Table2[[#This Row],[Top 2 Export Value]])-1))*1000,Table2[[#This Row],[Top 2 Export Value]])))</f>
        <v>34200000</v>
      </c>
      <c r="J42" s="9" t="s">
        <v>281</v>
      </c>
      <c r="K42" s="9" t="s">
        <v>182</v>
      </c>
      <c r="L42" s="9" t="s">
        <v>812</v>
      </c>
      <c r="M4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16000000</v>
      </c>
      <c r="N42" s="9" t="s">
        <v>39</v>
      </c>
    </row>
    <row r="43" spans="1:14" x14ac:dyDescent="0.3">
      <c r="A43" s="9" t="s">
        <v>18</v>
      </c>
      <c r="B43" s="9">
        <v>2023</v>
      </c>
      <c r="C43" s="9" t="s">
        <v>199</v>
      </c>
      <c r="D43" s="9" t="s">
        <v>808</v>
      </c>
      <c r="E43" s="11">
        <f t="shared" si="1"/>
        <v>109000000</v>
      </c>
      <c r="F43" s="9" t="s">
        <v>164</v>
      </c>
      <c r="G43" s="9" t="s">
        <v>193</v>
      </c>
      <c r="H43" s="9" t="s">
        <v>809</v>
      </c>
      <c r="I43" s="11">
        <f>IF(RIGHT(Table2[[#This Row],[Top 2 Export Value]],1)="M",VALUE(LEFT(Table2[[#This Row],[Top 2 Export Value]],LEN(Table2[[#This Row],[Top 2 Export Value]])-1))*1000000,IF(RIGHT(Table2[[#This Row],[Top 2 Export Value]],1)="B",VALUE(LEFT(Table2[[#This Row],[Top 2 Export Value]],LEN(Table2[[#This Row],[Top 2 Export Value]])-1))*1000000000,IF(RIGHT(D43,1)="k",VALUE(LEFT(Table2[[#This Row],[Top 2 Export Value]],LEN(Table2[[#This Row],[Top 2 Export Value]])-1))*1000,Table2[[#This Row],[Top 2 Export Value]])))</f>
        <v>29200000</v>
      </c>
      <c r="J43" s="9" t="s">
        <v>281</v>
      </c>
      <c r="K43" s="9" t="s">
        <v>182</v>
      </c>
      <c r="L43" s="9" t="s">
        <v>810</v>
      </c>
      <c r="M4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16399999.999999998</v>
      </c>
      <c r="N43" s="9" t="s">
        <v>39</v>
      </c>
    </row>
    <row r="44" spans="1:14" x14ac:dyDescent="0.3">
      <c r="A44" s="9" t="s">
        <v>19</v>
      </c>
      <c r="B44" s="9">
        <v>2021</v>
      </c>
      <c r="C44" s="9" t="s">
        <v>84</v>
      </c>
      <c r="D44" s="9" t="s">
        <v>813</v>
      </c>
      <c r="E44" s="11">
        <f t="shared" si="1"/>
        <v>649500000</v>
      </c>
      <c r="F44" s="9" t="s">
        <v>24</v>
      </c>
      <c r="G44" s="9" t="s">
        <v>216</v>
      </c>
      <c r="H44" s="9" t="s">
        <v>814</v>
      </c>
      <c r="I44" s="11">
        <f>IF(RIGHT(Table2[[#This Row],[Top 2 Export Value]],1)="M",VALUE(LEFT(Table2[[#This Row],[Top 2 Export Value]],LEN(Table2[[#This Row],[Top 2 Export Value]])-1))*1000000,IF(RIGHT(Table2[[#This Row],[Top 2 Export Value]],1)="B",VALUE(LEFT(Table2[[#This Row],[Top 2 Export Value]],LEN(Table2[[#This Row],[Top 2 Export Value]])-1))*1000000000,IF(RIGHT(D44,1)="k",VALUE(LEFT(Table2[[#This Row],[Top 2 Export Value]],LEN(Table2[[#This Row],[Top 2 Export Value]])-1))*1000,Table2[[#This Row],[Top 2 Export Value]])))</f>
        <v>407000000</v>
      </c>
      <c r="J44" s="9" t="s">
        <v>24</v>
      </c>
      <c r="K44" s="9" t="s">
        <v>217</v>
      </c>
      <c r="L44" s="9" t="s">
        <v>815</v>
      </c>
      <c r="M4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284600000</v>
      </c>
      <c r="N44" s="9" t="s">
        <v>24</v>
      </c>
    </row>
    <row r="45" spans="1:14" x14ac:dyDescent="0.3">
      <c r="A45" s="9" t="s">
        <v>19</v>
      </c>
      <c r="B45" s="9">
        <v>2022</v>
      </c>
      <c r="C45" s="9" t="s">
        <v>84</v>
      </c>
      <c r="D45" s="9" t="s">
        <v>816</v>
      </c>
      <c r="E45" s="11">
        <f t="shared" si="1"/>
        <v>546500000</v>
      </c>
      <c r="F45" s="9" t="s">
        <v>24</v>
      </c>
      <c r="G45" s="9" t="s">
        <v>216</v>
      </c>
      <c r="H45" s="9" t="s">
        <v>817</v>
      </c>
      <c r="I45" s="11">
        <f>IF(RIGHT(Table2[[#This Row],[Top 2 Export Value]],1)="M",VALUE(LEFT(Table2[[#This Row],[Top 2 Export Value]],LEN(Table2[[#This Row],[Top 2 Export Value]])-1))*1000000,IF(RIGHT(Table2[[#This Row],[Top 2 Export Value]],1)="B",VALUE(LEFT(Table2[[#This Row],[Top 2 Export Value]],LEN(Table2[[#This Row],[Top 2 Export Value]])-1))*1000000000,IF(RIGHT(D45,1)="k",VALUE(LEFT(Table2[[#This Row],[Top 2 Export Value]],LEN(Table2[[#This Row],[Top 2 Export Value]])-1))*1000,Table2[[#This Row],[Top 2 Export Value]])))</f>
        <v>272000000</v>
      </c>
      <c r="J45" s="9" t="s">
        <v>24</v>
      </c>
      <c r="K45" s="9" t="s">
        <v>217</v>
      </c>
      <c r="L45" s="9" t="s">
        <v>818</v>
      </c>
      <c r="M4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252700000</v>
      </c>
      <c r="N45" s="9" t="s">
        <v>24</v>
      </c>
    </row>
    <row r="46" spans="1:14" x14ac:dyDescent="0.3">
      <c r="A46" s="9" t="s">
        <v>19</v>
      </c>
      <c r="B46" s="9">
        <v>2023</v>
      </c>
      <c r="C46" s="9" t="s">
        <v>84</v>
      </c>
      <c r="D46" s="9" t="s">
        <v>819</v>
      </c>
      <c r="E46" s="11">
        <f t="shared" si="1"/>
        <v>539000000</v>
      </c>
      <c r="F46" s="9" t="s">
        <v>24</v>
      </c>
      <c r="G46" s="9" t="s">
        <v>216</v>
      </c>
      <c r="H46" s="9" t="s">
        <v>820</v>
      </c>
      <c r="I46" s="11">
        <f>IF(RIGHT(Table2[[#This Row],[Top 2 Export Value]],1)="M",VALUE(LEFT(Table2[[#This Row],[Top 2 Export Value]],LEN(Table2[[#This Row],[Top 2 Export Value]])-1))*1000000,IF(RIGHT(Table2[[#This Row],[Top 2 Export Value]],1)="B",VALUE(LEFT(Table2[[#This Row],[Top 2 Export Value]],LEN(Table2[[#This Row],[Top 2 Export Value]])-1))*1000000000,IF(RIGHT(D46,1)="k",VALUE(LEFT(Table2[[#This Row],[Top 2 Export Value]],LEN(Table2[[#This Row],[Top 2 Export Value]])-1))*1000,Table2[[#This Row],[Top 2 Export Value]])))</f>
        <v>424200000</v>
      </c>
      <c r="J46" s="9" t="s">
        <v>24</v>
      </c>
      <c r="K46" s="9" t="s">
        <v>217</v>
      </c>
      <c r="L46" s="9" t="s">
        <v>821</v>
      </c>
      <c r="M4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388200000</v>
      </c>
      <c r="N46" s="9" t="s">
        <v>24</v>
      </c>
    </row>
    <row r="47" spans="1:14" x14ac:dyDescent="0.3">
      <c r="A47" s="9" t="s">
        <v>20</v>
      </c>
      <c r="B47" s="9">
        <v>2021</v>
      </c>
      <c r="C47" s="9" t="s">
        <v>218</v>
      </c>
      <c r="D47" s="9" t="s">
        <v>822</v>
      </c>
      <c r="E47" s="11">
        <f t="shared" si="1"/>
        <v>635300000</v>
      </c>
      <c r="F47" s="9" t="s">
        <v>283</v>
      </c>
      <c r="G47" s="9" t="s">
        <v>207</v>
      </c>
      <c r="H47" s="9" t="s">
        <v>823</v>
      </c>
      <c r="I47" s="11">
        <f>IF(RIGHT(Table2[[#This Row],[Top 2 Export Value]],1)="M",VALUE(LEFT(Table2[[#This Row],[Top 2 Export Value]],LEN(Table2[[#This Row],[Top 2 Export Value]])-1))*1000000,IF(RIGHT(Table2[[#This Row],[Top 2 Export Value]],1)="B",VALUE(LEFT(Table2[[#This Row],[Top 2 Export Value]],LEN(Table2[[#This Row],[Top 2 Export Value]])-1))*1000000000,IF(RIGHT(D47,1)="k",VALUE(LEFT(Table2[[#This Row],[Top 2 Export Value]],LEN(Table2[[#This Row],[Top 2 Export Value]])-1))*1000,Table2[[#This Row],[Top 2 Export Value]])))</f>
        <v>369700000</v>
      </c>
      <c r="J47" s="9" t="s">
        <v>284</v>
      </c>
      <c r="K47" s="9" t="s">
        <v>219</v>
      </c>
      <c r="L47" s="9" t="s">
        <v>824</v>
      </c>
      <c r="M4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338900000</v>
      </c>
      <c r="N47" s="9" t="s">
        <v>279</v>
      </c>
    </row>
    <row r="48" spans="1:14" x14ac:dyDescent="0.3">
      <c r="A48" s="9" t="s">
        <v>20</v>
      </c>
      <c r="B48" s="9">
        <v>2022</v>
      </c>
      <c r="C48" s="9" t="s">
        <v>218</v>
      </c>
      <c r="D48" s="9" t="s">
        <v>825</v>
      </c>
      <c r="E48" s="11">
        <f t="shared" si="1"/>
        <v>576100000</v>
      </c>
      <c r="F48" s="9" t="s">
        <v>283</v>
      </c>
      <c r="G48" s="9" t="s">
        <v>207</v>
      </c>
      <c r="H48" s="9" t="s">
        <v>826</v>
      </c>
      <c r="I48" s="11">
        <f>IF(RIGHT(Table2[[#This Row],[Top 2 Export Value]],1)="M",VALUE(LEFT(Table2[[#This Row],[Top 2 Export Value]],LEN(Table2[[#This Row],[Top 2 Export Value]])-1))*1000000,IF(RIGHT(Table2[[#This Row],[Top 2 Export Value]],1)="B",VALUE(LEFT(Table2[[#This Row],[Top 2 Export Value]],LEN(Table2[[#This Row],[Top 2 Export Value]])-1))*1000000000,IF(RIGHT(D48,1)="k",VALUE(LEFT(Table2[[#This Row],[Top 2 Export Value]],LEN(Table2[[#This Row],[Top 2 Export Value]])-1))*1000,Table2[[#This Row],[Top 2 Export Value]])))</f>
        <v>411600000</v>
      </c>
      <c r="J48" s="9" t="s">
        <v>284</v>
      </c>
      <c r="K48" s="9" t="s">
        <v>219</v>
      </c>
      <c r="L48" s="9" t="s">
        <v>827</v>
      </c>
      <c r="M4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265500000</v>
      </c>
      <c r="N48" s="9" t="s">
        <v>143</v>
      </c>
    </row>
    <row r="49" spans="1:14" x14ac:dyDescent="0.3">
      <c r="A49" s="9" t="s">
        <v>20</v>
      </c>
      <c r="B49" s="9">
        <v>2023</v>
      </c>
      <c r="C49" s="9" t="s">
        <v>218</v>
      </c>
      <c r="D49" s="9" t="s">
        <v>828</v>
      </c>
      <c r="E49" s="11">
        <f t="shared" si="1"/>
        <v>798000000</v>
      </c>
      <c r="F49" s="9" t="s">
        <v>283</v>
      </c>
      <c r="G49" s="9" t="s">
        <v>207</v>
      </c>
      <c r="H49" s="9" t="s">
        <v>829</v>
      </c>
      <c r="I49" s="11">
        <f>IF(RIGHT(Table2[[#This Row],[Top 2 Export Value]],1)="M",VALUE(LEFT(Table2[[#This Row],[Top 2 Export Value]],LEN(Table2[[#This Row],[Top 2 Export Value]])-1))*1000000,IF(RIGHT(Table2[[#This Row],[Top 2 Export Value]],1)="B",VALUE(LEFT(Table2[[#This Row],[Top 2 Export Value]],LEN(Table2[[#This Row],[Top 2 Export Value]])-1))*1000000000,IF(RIGHT(D49,1)="k",VALUE(LEFT(Table2[[#This Row],[Top 2 Export Value]],LEN(Table2[[#This Row],[Top 2 Export Value]])-1))*1000,Table2[[#This Row],[Top 2 Export Value]])))</f>
        <v>439700000</v>
      </c>
      <c r="J49" s="9" t="s">
        <v>284</v>
      </c>
      <c r="K49" s="9" t="s">
        <v>219</v>
      </c>
      <c r="L49" s="9" t="s">
        <v>830</v>
      </c>
      <c r="M4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426500000</v>
      </c>
      <c r="N49" s="9" t="s">
        <v>279</v>
      </c>
    </row>
    <row r="50" spans="1:14" x14ac:dyDescent="0.3">
      <c r="A50" s="9" t="s">
        <v>21</v>
      </c>
      <c r="B50" s="9">
        <v>2021</v>
      </c>
      <c r="C50" s="9" t="s">
        <v>199</v>
      </c>
      <c r="D50" s="9" t="s">
        <v>831</v>
      </c>
      <c r="E50" s="11">
        <f t="shared" si="1"/>
        <v>1480000</v>
      </c>
      <c r="F50" s="9" t="s">
        <v>170</v>
      </c>
      <c r="G50" s="9" t="s">
        <v>77</v>
      </c>
      <c r="H50" s="9" t="s">
        <v>1069</v>
      </c>
      <c r="I50" s="11">
        <f>IF(RIGHT(Table2[[#This Row],[Top 2 Export Value]],1)="M",VALUE(LEFT(Table2[[#This Row],[Top 2 Export Value]],LEN(Table2[[#This Row],[Top 2 Export Value]])-1))*1000000,IF(RIGHT(Table2[[#This Row],[Top 2 Export Value]],1)="B",VALUE(LEFT(Table2[[#This Row],[Top 2 Export Value]],LEN(Table2[[#This Row],[Top 2 Export Value]])-1))*1000000000,IF(RIGHT(D50,1)="k",VALUE(LEFT(Table2[[#This Row],[Top 2 Export Value]],LEN(Table2[[#This Row],[Top 2 Export Value]])-1))*1000,Table2[[#This Row],[Top 2 Export Value]])))</f>
        <v>214000</v>
      </c>
      <c r="J50" s="9" t="s">
        <v>12</v>
      </c>
      <c r="K50" s="9" t="s">
        <v>195</v>
      </c>
      <c r="L50" s="9" t="s">
        <v>832</v>
      </c>
      <c r="M5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166000</v>
      </c>
      <c r="N50" s="9" t="s">
        <v>12</v>
      </c>
    </row>
    <row r="51" spans="1:14" x14ac:dyDescent="0.3">
      <c r="A51" s="9" t="s">
        <v>21</v>
      </c>
      <c r="B51" s="9">
        <v>2022</v>
      </c>
      <c r="C51" s="9" t="s">
        <v>199</v>
      </c>
      <c r="D51" s="9" t="s">
        <v>833</v>
      </c>
      <c r="E51" s="11">
        <f t="shared" si="1"/>
        <v>1950000</v>
      </c>
      <c r="F51" s="9" t="s">
        <v>170</v>
      </c>
      <c r="G51" s="9" t="s">
        <v>65</v>
      </c>
      <c r="H51" s="9" t="s">
        <v>1068</v>
      </c>
      <c r="I51" s="11">
        <f>IF(RIGHT(Table2[[#This Row],[Top 2 Export Value]],1)="M",VALUE(LEFT(Table2[[#This Row],[Top 2 Export Value]],LEN(Table2[[#This Row],[Top 2 Export Value]])-1))*1000000,IF(RIGHT(Table2[[#This Row],[Top 2 Export Value]],1)="B",VALUE(LEFT(Table2[[#This Row],[Top 2 Export Value]],LEN(Table2[[#This Row],[Top 2 Export Value]])-1))*1000000000,IF(RIGHT(D51,1)="k",VALUE(LEFT(Table2[[#This Row],[Top 2 Export Value]],LEN(Table2[[#This Row],[Top 2 Export Value]])-1))*1000,Table2[[#This Row],[Top 2 Export Value]])))</f>
        <v>563000</v>
      </c>
      <c r="J51" s="9" t="s">
        <v>45</v>
      </c>
      <c r="K51" s="9" t="s">
        <v>77</v>
      </c>
      <c r="L51" s="9" t="s">
        <v>834</v>
      </c>
      <c r="M5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87800</v>
      </c>
      <c r="N51" s="9" t="s">
        <v>45</v>
      </c>
    </row>
    <row r="52" spans="1:14" x14ac:dyDescent="0.3">
      <c r="A52" s="9" t="s">
        <v>21</v>
      </c>
      <c r="B52" s="9">
        <v>2023</v>
      </c>
      <c r="C52" s="9" t="s">
        <v>199</v>
      </c>
      <c r="D52" s="9" t="s">
        <v>835</v>
      </c>
      <c r="E52" s="11">
        <f t="shared" si="1"/>
        <v>1350000</v>
      </c>
      <c r="F52" s="9" t="s">
        <v>170</v>
      </c>
      <c r="I52" s="11">
        <f>IF(RIGHT(Table2[[#This Row],[Top 2 Export Value]],1)="M",VALUE(LEFT(Table2[[#This Row],[Top 2 Export Value]],LEN(Table2[[#This Row],[Top 2 Export Value]])-1))*1000000,IF(RIGHT(Table2[[#This Row],[Top 2 Export Value]],1)="B",VALUE(LEFT(Table2[[#This Row],[Top 2 Export Value]],LEN(Table2[[#This Row],[Top 2 Export Value]])-1))*1000000000,IF(RIGHT(D52,1)="k",VALUE(LEFT(Table2[[#This Row],[Top 2 Export Value]],LEN(Table2[[#This Row],[Top 2 Export Value]])-1))*1000,Table2[[#This Row],[Top 2 Export Value]])))</f>
        <v>0</v>
      </c>
      <c r="M5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0</v>
      </c>
    </row>
    <row r="53" spans="1:14" x14ac:dyDescent="0.3">
      <c r="A53" s="9" t="s">
        <v>22</v>
      </c>
      <c r="B53" s="9">
        <v>2021</v>
      </c>
      <c r="C53" s="9" t="s">
        <v>220</v>
      </c>
      <c r="D53" s="9" t="s">
        <v>836</v>
      </c>
      <c r="E53" s="11">
        <f t="shared" si="1"/>
        <v>462000</v>
      </c>
      <c r="F53" s="9" t="s">
        <v>27</v>
      </c>
      <c r="G53" s="9" t="s">
        <v>180</v>
      </c>
      <c r="H53" s="9" t="s">
        <v>837</v>
      </c>
      <c r="I53" s="11">
        <f>IF(RIGHT(Table2[[#This Row],[Top 2 Export Value]],1)="M",VALUE(LEFT(Table2[[#This Row],[Top 2 Export Value]],LEN(Table2[[#This Row],[Top 2 Export Value]])-1))*1000000,IF(RIGHT(Table2[[#This Row],[Top 2 Export Value]],1)="B",VALUE(LEFT(Table2[[#This Row],[Top 2 Export Value]],LEN(Table2[[#This Row],[Top 2 Export Value]])-1))*1000000000,IF(RIGHT(D53,1)="k",VALUE(LEFT(Table2[[#This Row],[Top 2 Export Value]],LEN(Table2[[#This Row],[Top 2 Export Value]])-1))*1000,Table2[[#This Row],[Top 2 Export Value]])))</f>
        <v>254000</v>
      </c>
      <c r="J53" s="9" t="s">
        <v>274</v>
      </c>
      <c r="K53" s="9" t="s">
        <v>59</v>
      </c>
      <c r="L53" s="9" t="s">
        <v>838</v>
      </c>
      <c r="M5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252000</v>
      </c>
      <c r="N53" s="9" t="s">
        <v>34</v>
      </c>
    </row>
    <row r="54" spans="1:14" x14ac:dyDescent="0.3">
      <c r="A54" s="9" t="s">
        <v>22</v>
      </c>
      <c r="B54" s="9">
        <v>2022</v>
      </c>
      <c r="C54" s="9" t="s">
        <v>59</v>
      </c>
      <c r="D54" s="9" t="s">
        <v>362</v>
      </c>
      <c r="E54" s="11">
        <f t="shared" si="1"/>
        <v>17400000</v>
      </c>
      <c r="F54" s="9" t="s">
        <v>34</v>
      </c>
      <c r="G54" s="9" t="s">
        <v>180</v>
      </c>
      <c r="H54" s="9" t="s">
        <v>1070</v>
      </c>
      <c r="I54" s="11">
        <f>IF(RIGHT(Table2[[#This Row],[Top 2 Export Value]],1)="M",VALUE(LEFT(Table2[[#This Row],[Top 2 Export Value]],LEN(Table2[[#This Row],[Top 2 Export Value]])-1))*1000000,IF(RIGHT(Table2[[#This Row],[Top 2 Export Value]],1)="B",VALUE(LEFT(Table2[[#This Row],[Top 2 Export Value]],LEN(Table2[[#This Row],[Top 2 Export Value]])-1))*1000000000,IF(RIGHT(D54,1)="k",VALUE(LEFT(Table2[[#This Row],[Top 2 Export Value]],LEN(Table2[[#This Row],[Top 2 Export Value]])-1))*1000,Table2[[#This Row],[Top 2 Export Value]])))</f>
        <v>62700.000000000007</v>
      </c>
      <c r="J54" s="9" t="s">
        <v>274</v>
      </c>
      <c r="M5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0</v>
      </c>
    </row>
    <row r="55" spans="1:14" x14ac:dyDescent="0.3">
      <c r="A55" s="9" t="s">
        <v>22</v>
      </c>
      <c r="B55" s="9">
        <v>2023</v>
      </c>
      <c r="C55" s="9" t="s">
        <v>220</v>
      </c>
      <c r="D55" s="9" t="s">
        <v>836</v>
      </c>
      <c r="E55" s="11">
        <f t="shared" si="1"/>
        <v>462000</v>
      </c>
      <c r="F55" s="9" t="s">
        <v>27</v>
      </c>
      <c r="G55" s="9" t="s">
        <v>180</v>
      </c>
      <c r="H55" s="9" t="s">
        <v>837</v>
      </c>
      <c r="I55" s="11">
        <f>IF(RIGHT(Table2[[#This Row],[Top 2 Export Value]],1)="M",VALUE(LEFT(Table2[[#This Row],[Top 2 Export Value]],LEN(Table2[[#This Row],[Top 2 Export Value]])-1))*1000000,IF(RIGHT(Table2[[#This Row],[Top 2 Export Value]],1)="B",VALUE(LEFT(Table2[[#This Row],[Top 2 Export Value]],LEN(Table2[[#This Row],[Top 2 Export Value]])-1))*1000000000,IF(RIGHT(D55,1)="k",VALUE(LEFT(Table2[[#This Row],[Top 2 Export Value]],LEN(Table2[[#This Row],[Top 2 Export Value]])-1))*1000,Table2[[#This Row],[Top 2 Export Value]])))</f>
        <v>254000</v>
      </c>
      <c r="J55" s="9" t="s">
        <v>274</v>
      </c>
      <c r="K55" s="9" t="s">
        <v>59</v>
      </c>
      <c r="L55" s="9" t="s">
        <v>838</v>
      </c>
      <c r="M5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252000</v>
      </c>
      <c r="N55" s="9" t="s">
        <v>34</v>
      </c>
    </row>
    <row r="56" spans="1:14" x14ac:dyDescent="0.3">
      <c r="A56" s="9" t="s">
        <v>23</v>
      </c>
      <c r="B56" s="9">
        <v>2021</v>
      </c>
      <c r="C56" s="9" t="s">
        <v>75</v>
      </c>
      <c r="D56" s="9" t="s">
        <v>839</v>
      </c>
      <c r="E56" s="11">
        <f t="shared" si="1"/>
        <v>313000000</v>
      </c>
      <c r="F56" s="9" t="s">
        <v>50</v>
      </c>
      <c r="G56" s="9" t="s">
        <v>221</v>
      </c>
      <c r="H56" s="9" t="s">
        <v>840</v>
      </c>
      <c r="I56" s="11">
        <f>IF(RIGHT(Table2[[#This Row],[Top 2 Export Value]],1)="M",VALUE(LEFT(Table2[[#This Row],[Top 2 Export Value]],LEN(Table2[[#This Row],[Top 2 Export Value]])-1))*1000000,IF(RIGHT(Table2[[#This Row],[Top 2 Export Value]],1)="B",VALUE(LEFT(Table2[[#This Row],[Top 2 Export Value]],LEN(Table2[[#This Row],[Top 2 Export Value]])-1))*1000000000,IF(RIGHT(D56,1)="k",VALUE(LEFT(Table2[[#This Row],[Top 2 Export Value]],LEN(Table2[[#This Row],[Top 2 Export Value]])-1))*1000,Table2[[#This Row],[Top 2 Export Value]])))</f>
        <v>36800000</v>
      </c>
      <c r="J56" s="9" t="s">
        <v>50</v>
      </c>
      <c r="K56" s="9" t="s">
        <v>222</v>
      </c>
      <c r="L56" s="9" t="s">
        <v>841</v>
      </c>
      <c r="M5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34000000</v>
      </c>
      <c r="N56" s="9" t="s">
        <v>50</v>
      </c>
    </row>
    <row r="57" spans="1:14" x14ac:dyDescent="0.3">
      <c r="A57" s="9" t="s">
        <v>23</v>
      </c>
      <c r="B57" s="9">
        <v>2022</v>
      </c>
      <c r="C57" s="9" t="s">
        <v>75</v>
      </c>
      <c r="D57" s="9" t="s">
        <v>842</v>
      </c>
      <c r="E57" s="11">
        <f t="shared" si="1"/>
        <v>384200000</v>
      </c>
      <c r="F57" s="9" t="s">
        <v>50</v>
      </c>
      <c r="G57" s="9" t="s">
        <v>221</v>
      </c>
      <c r="H57" s="9" t="s">
        <v>843</v>
      </c>
      <c r="I57" s="11">
        <f>IF(RIGHT(Table2[[#This Row],[Top 2 Export Value]],1)="M",VALUE(LEFT(Table2[[#This Row],[Top 2 Export Value]],LEN(Table2[[#This Row],[Top 2 Export Value]])-1))*1000000,IF(RIGHT(Table2[[#This Row],[Top 2 Export Value]],1)="B",VALUE(LEFT(Table2[[#This Row],[Top 2 Export Value]],LEN(Table2[[#This Row],[Top 2 Export Value]])-1))*1000000000,IF(RIGHT(D57,1)="k",VALUE(LEFT(Table2[[#This Row],[Top 2 Export Value]],LEN(Table2[[#This Row],[Top 2 Export Value]])-1))*1000,Table2[[#This Row],[Top 2 Export Value]])))</f>
        <v>32900000</v>
      </c>
      <c r="J57" s="9" t="s">
        <v>50</v>
      </c>
      <c r="K57" s="9" t="s">
        <v>222</v>
      </c>
      <c r="L57" s="9" t="s">
        <v>843</v>
      </c>
      <c r="M5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32900000</v>
      </c>
      <c r="N57" s="9" t="s">
        <v>50</v>
      </c>
    </row>
    <row r="58" spans="1:14" x14ac:dyDescent="0.3">
      <c r="A58" s="9" t="s">
        <v>23</v>
      </c>
      <c r="B58" s="9">
        <v>2023</v>
      </c>
      <c r="C58" s="9" t="s">
        <v>75</v>
      </c>
      <c r="D58" s="9" t="s">
        <v>844</v>
      </c>
      <c r="E58" s="11">
        <f t="shared" si="1"/>
        <v>368900000</v>
      </c>
      <c r="F58" s="9" t="s">
        <v>50</v>
      </c>
      <c r="G58" s="9" t="s">
        <v>221</v>
      </c>
      <c r="H58" s="9" t="s">
        <v>536</v>
      </c>
      <c r="I58" s="11">
        <f>IF(RIGHT(Table2[[#This Row],[Top 2 Export Value]],1)="M",VALUE(LEFT(Table2[[#This Row],[Top 2 Export Value]],LEN(Table2[[#This Row],[Top 2 Export Value]])-1))*1000000,IF(RIGHT(Table2[[#This Row],[Top 2 Export Value]],1)="B",VALUE(LEFT(Table2[[#This Row],[Top 2 Export Value]],LEN(Table2[[#This Row],[Top 2 Export Value]])-1))*1000000000,IF(RIGHT(D58,1)="k",VALUE(LEFT(Table2[[#This Row],[Top 2 Export Value]],LEN(Table2[[#This Row],[Top 2 Export Value]])-1))*1000,Table2[[#This Row],[Top 2 Export Value]])))</f>
        <v>44100000</v>
      </c>
      <c r="J58" s="9" t="s">
        <v>50</v>
      </c>
      <c r="K58" s="9" t="s">
        <v>222</v>
      </c>
      <c r="L58" s="9" t="s">
        <v>845</v>
      </c>
      <c r="M5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38700000</v>
      </c>
      <c r="N58" s="9" t="s">
        <v>50</v>
      </c>
    </row>
    <row r="59" spans="1:14" x14ac:dyDescent="0.3">
      <c r="A59" s="9" t="s">
        <v>24</v>
      </c>
      <c r="B59" s="9">
        <v>2021</v>
      </c>
      <c r="C59" s="9" t="s">
        <v>193</v>
      </c>
      <c r="D59" s="9" t="s">
        <v>846</v>
      </c>
      <c r="E59" s="11">
        <f t="shared" si="1"/>
        <v>1500000000</v>
      </c>
      <c r="F59" s="9" t="s">
        <v>143</v>
      </c>
      <c r="G59" s="9" t="s">
        <v>223</v>
      </c>
      <c r="H59" s="9" t="s">
        <v>847</v>
      </c>
      <c r="I59" s="11">
        <f>IF(RIGHT(Table2[[#This Row],[Top 2 Export Value]],1)="M",VALUE(LEFT(Table2[[#This Row],[Top 2 Export Value]],LEN(Table2[[#This Row],[Top 2 Export Value]])-1))*1000000,IF(RIGHT(Table2[[#This Row],[Top 2 Export Value]],1)="B",VALUE(LEFT(Table2[[#This Row],[Top 2 Export Value]],LEN(Table2[[#This Row],[Top 2 Export Value]])-1))*1000000000,IF(RIGHT(D59,1)="k",VALUE(LEFT(Table2[[#This Row],[Top 2 Export Value]],LEN(Table2[[#This Row],[Top 2 Export Value]])-1))*1000,Table2[[#This Row],[Top 2 Export Value]])))</f>
        <v>261600000.00000003</v>
      </c>
      <c r="J59" s="9" t="s">
        <v>137</v>
      </c>
      <c r="K59" s="9" t="s">
        <v>224</v>
      </c>
      <c r="L59" s="9" t="s">
        <v>848</v>
      </c>
      <c r="M5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232500000</v>
      </c>
      <c r="N59" s="9" t="s">
        <v>49</v>
      </c>
    </row>
    <row r="60" spans="1:14" x14ac:dyDescent="0.3">
      <c r="A60" s="9" t="s">
        <v>24</v>
      </c>
      <c r="B60" s="9">
        <v>2022</v>
      </c>
      <c r="C60" s="9" t="s">
        <v>193</v>
      </c>
      <c r="D60" s="9" t="s">
        <v>447</v>
      </c>
      <c r="E60" s="11">
        <f t="shared" si="1"/>
        <v>1200000000</v>
      </c>
      <c r="F60" s="9" t="s">
        <v>143</v>
      </c>
      <c r="G60" s="9" t="s">
        <v>223</v>
      </c>
      <c r="H60" s="9" t="s">
        <v>849</v>
      </c>
      <c r="I60" s="11">
        <f>IF(RIGHT(Table2[[#This Row],[Top 2 Export Value]],1)="M",VALUE(LEFT(Table2[[#This Row],[Top 2 Export Value]],LEN(Table2[[#This Row],[Top 2 Export Value]])-1))*1000000,IF(RIGHT(Table2[[#This Row],[Top 2 Export Value]],1)="B",VALUE(LEFT(Table2[[#This Row],[Top 2 Export Value]],LEN(Table2[[#This Row],[Top 2 Export Value]])-1))*1000000000,IF(RIGHT(D60,1)="k",VALUE(LEFT(Table2[[#This Row],[Top 2 Export Value]],LEN(Table2[[#This Row],[Top 2 Export Value]])-1))*1000,Table2[[#This Row],[Top 2 Export Value]])))</f>
        <v>296300000</v>
      </c>
      <c r="J60" s="9" t="s">
        <v>137</v>
      </c>
      <c r="K60" s="9" t="s">
        <v>205</v>
      </c>
      <c r="L60" s="9" t="s">
        <v>850</v>
      </c>
      <c r="M6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286000000</v>
      </c>
      <c r="N60" s="9" t="s">
        <v>285</v>
      </c>
    </row>
    <row r="61" spans="1:14" x14ac:dyDescent="0.3">
      <c r="A61" s="9" t="s">
        <v>24</v>
      </c>
      <c r="B61" s="9">
        <v>2023</v>
      </c>
      <c r="C61" s="9" t="s">
        <v>193</v>
      </c>
      <c r="D61" s="9" t="s">
        <v>447</v>
      </c>
      <c r="E61" s="11">
        <f t="shared" si="1"/>
        <v>1200000000</v>
      </c>
      <c r="F61" s="9" t="s">
        <v>284</v>
      </c>
      <c r="G61" s="9" t="s">
        <v>223</v>
      </c>
      <c r="H61" s="9" t="s">
        <v>851</v>
      </c>
      <c r="I61" s="11">
        <f>IF(RIGHT(Table2[[#This Row],[Top 2 Export Value]],1)="M",VALUE(LEFT(Table2[[#This Row],[Top 2 Export Value]],LEN(Table2[[#This Row],[Top 2 Export Value]])-1))*1000000,IF(RIGHT(Table2[[#This Row],[Top 2 Export Value]],1)="B",VALUE(LEFT(Table2[[#This Row],[Top 2 Export Value]],LEN(Table2[[#This Row],[Top 2 Export Value]])-1))*1000000000,IF(RIGHT(D61,1)="k",VALUE(LEFT(Table2[[#This Row],[Top 2 Export Value]],LEN(Table2[[#This Row],[Top 2 Export Value]])-1))*1000,Table2[[#This Row],[Top 2 Export Value]])))</f>
        <v>268100000.00000003</v>
      </c>
      <c r="J61" s="9" t="s">
        <v>137</v>
      </c>
      <c r="K61" s="9" t="s">
        <v>205</v>
      </c>
      <c r="L61" s="9" t="s">
        <v>852</v>
      </c>
      <c r="M6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233200000</v>
      </c>
      <c r="N61" s="9" t="s">
        <v>285</v>
      </c>
    </row>
    <row r="62" spans="1:14" x14ac:dyDescent="0.3">
      <c r="A62" s="9" t="s">
        <v>25</v>
      </c>
      <c r="B62" s="9">
        <v>2021</v>
      </c>
      <c r="C62" s="9" t="s">
        <v>84</v>
      </c>
      <c r="D62" s="9" t="s">
        <v>853</v>
      </c>
      <c r="E62" s="11">
        <f t="shared" si="1"/>
        <v>137100000</v>
      </c>
      <c r="F62" s="9" t="s">
        <v>12</v>
      </c>
      <c r="G62" s="9" t="s">
        <v>214</v>
      </c>
      <c r="H62" s="9" t="s">
        <v>786</v>
      </c>
      <c r="I62" s="11">
        <f>IF(RIGHT(Table2[[#This Row],[Top 2 Export Value]],1)="M",VALUE(LEFT(Table2[[#This Row],[Top 2 Export Value]],LEN(Table2[[#This Row],[Top 2 Export Value]])-1))*1000000,IF(RIGHT(Table2[[#This Row],[Top 2 Export Value]],1)="B",VALUE(LEFT(Table2[[#This Row],[Top 2 Export Value]],LEN(Table2[[#This Row],[Top 2 Export Value]])-1))*1000000000,IF(RIGHT(D62,1)="k",VALUE(LEFT(Table2[[#This Row],[Top 2 Export Value]],LEN(Table2[[#This Row],[Top 2 Export Value]])-1))*1000,Table2[[#This Row],[Top 2 Export Value]])))</f>
        <v>13800000</v>
      </c>
      <c r="J62" s="9" t="s">
        <v>156</v>
      </c>
      <c r="K62" s="9" t="s">
        <v>225</v>
      </c>
      <c r="L62" s="9" t="s">
        <v>556</v>
      </c>
      <c r="M6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8800000</v>
      </c>
      <c r="N62" s="9" t="s">
        <v>170</v>
      </c>
    </row>
    <row r="63" spans="1:14" x14ac:dyDescent="0.3">
      <c r="A63" s="9" t="s">
        <v>25</v>
      </c>
      <c r="B63" s="9">
        <v>2022</v>
      </c>
      <c r="C63" s="9" t="s">
        <v>84</v>
      </c>
      <c r="D63" s="9" t="s">
        <v>854</v>
      </c>
      <c r="E63" s="11">
        <f t="shared" si="1"/>
        <v>72600000</v>
      </c>
      <c r="F63" s="9" t="s">
        <v>12</v>
      </c>
      <c r="G63" s="9" t="s">
        <v>214</v>
      </c>
      <c r="H63" s="9" t="s">
        <v>855</v>
      </c>
      <c r="I63" s="11">
        <f>IF(RIGHT(Table2[[#This Row],[Top 2 Export Value]],1)="M",VALUE(LEFT(Table2[[#This Row],[Top 2 Export Value]],LEN(Table2[[#This Row],[Top 2 Export Value]])-1))*1000000,IF(RIGHT(Table2[[#This Row],[Top 2 Export Value]],1)="B",VALUE(LEFT(Table2[[#This Row],[Top 2 Export Value]],LEN(Table2[[#This Row],[Top 2 Export Value]])-1))*1000000000,IF(RIGHT(D63,1)="k",VALUE(LEFT(Table2[[#This Row],[Top 2 Export Value]],LEN(Table2[[#This Row],[Top 2 Export Value]])-1))*1000,Table2[[#This Row],[Top 2 Export Value]])))</f>
        <v>10000000</v>
      </c>
      <c r="J63" s="9" t="s">
        <v>270</v>
      </c>
      <c r="K63" s="9" t="s">
        <v>225</v>
      </c>
      <c r="L63" s="9" t="s">
        <v>856</v>
      </c>
      <c r="M6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8500000</v>
      </c>
      <c r="N63" s="9" t="s">
        <v>170</v>
      </c>
    </row>
    <row r="64" spans="1:14" x14ac:dyDescent="0.3">
      <c r="A64" s="9" t="s">
        <v>25</v>
      </c>
      <c r="B64" s="9">
        <v>2023</v>
      </c>
      <c r="C64" s="9" t="s">
        <v>84</v>
      </c>
      <c r="D64" s="9" t="s">
        <v>857</v>
      </c>
      <c r="E64" s="11">
        <f t="shared" si="1"/>
        <v>96800000</v>
      </c>
      <c r="F64" s="9" t="s">
        <v>12</v>
      </c>
      <c r="G64" s="9" t="s">
        <v>214</v>
      </c>
      <c r="H64" s="9" t="s">
        <v>371</v>
      </c>
      <c r="I64" s="11">
        <f>IF(RIGHT(Table2[[#This Row],[Top 2 Export Value]],1)="M",VALUE(LEFT(Table2[[#This Row],[Top 2 Export Value]],LEN(Table2[[#This Row],[Top 2 Export Value]])-1))*1000000,IF(RIGHT(Table2[[#This Row],[Top 2 Export Value]],1)="B",VALUE(LEFT(Table2[[#This Row],[Top 2 Export Value]],LEN(Table2[[#This Row],[Top 2 Export Value]])-1))*1000000000,IF(RIGHT(D64,1)="k",VALUE(LEFT(Table2[[#This Row],[Top 2 Export Value]],LEN(Table2[[#This Row],[Top 2 Export Value]])-1))*1000,Table2[[#This Row],[Top 2 Export Value]])))</f>
        <v>20200000</v>
      </c>
      <c r="J64" s="9" t="s">
        <v>156</v>
      </c>
      <c r="K64" s="9" t="s">
        <v>226</v>
      </c>
      <c r="L64" s="9" t="s">
        <v>856</v>
      </c>
      <c r="M6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8500000</v>
      </c>
      <c r="N64" s="9" t="s">
        <v>46</v>
      </c>
    </row>
    <row r="65" spans="1:14" x14ac:dyDescent="0.3">
      <c r="A65" s="9" t="s">
        <v>26</v>
      </c>
      <c r="B65" s="9">
        <v>2021</v>
      </c>
      <c r="C65" s="9" t="s">
        <v>227</v>
      </c>
      <c r="D65" s="9" t="s">
        <v>781</v>
      </c>
      <c r="E65" s="11">
        <f t="shared" si="1"/>
        <v>31000000</v>
      </c>
      <c r="F65" s="9" t="s">
        <v>164</v>
      </c>
      <c r="G65" s="9" t="s">
        <v>78</v>
      </c>
      <c r="H65" s="9" t="s">
        <v>794</v>
      </c>
      <c r="I65" s="11">
        <f>IF(RIGHT(Table2[[#This Row],[Top 2 Export Value]],1)="M",VALUE(LEFT(Table2[[#This Row],[Top 2 Export Value]],LEN(Table2[[#This Row],[Top 2 Export Value]])-1))*1000000,IF(RIGHT(Table2[[#This Row],[Top 2 Export Value]],1)="B",VALUE(LEFT(Table2[[#This Row],[Top 2 Export Value]],LEN(Table2[[#This Row],[Top 2 Export Value]])-1))*1000000000,IF(RIGHT(D65,1)="k",VALUE(LEFT(Table2[[#This Row],[Top 2 Export Value]],LEN(Table2[[#This Row],[Top 2 Export Value]])-1))*1000,Table2[[#This Row],[Top 2 Export Value]])))</f>
        <v>13200000</v>
      </c>
      <c r="J65" s="9" t="s">
        <v>46</v>
      </c>
      <c r="K65" s="9" t="s">
        <v>180</v>
      </c>
      <c r="L65" s="9" t="s">
        <v>763</v>
      </c>
      <c r="M6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7480000</v>
      </c>
      <c r="N65" s="9" t="s">
        <v>281</v>
      </c>
    </row>
    <row r="66" spans="1:14" x14ac:dyDescent="0.3">
      <c r="A66" s="9" t="s">
        <v>26</v>
      </c>
      <c r="B66" s="9">
        <v>2022</v>
      </c>
      <c r="C66" s="9" t="s">
        <v>227</v>
      </c>
      <c r="D66" s="9" t="s">
        <v>858</v>
      </c>
      <c r="E66" s="11">
        <f t="shared" ref="E66:E97" si="2">IF(RIGHT(D66,1)="M",VALUE(LEFT(D66,LEN(D66)-1))*1000000,IF(RIGHT(D66,1)="B",VALUE(LEFT(D66,LEN(D66)-1))*1000000000,IF(RIGHT(D66,1)="K",VALUE(LEFT(D66,LEN(D66)-1))*1000,D66)))</f>
        <v>40200000</v>
      </c>
      <c r="F66" s="9" t="s">
        <v>164</v>
      </c>
      <c r="G66" s="9" t="s">
        <v>196</v>
      </c>
      <c r="H66" s="9" t="s">
        <v>368</v>
      </c>
      <c r="I66" s="11">
        <f>IF(RIGHT(Table2[[#This Row],[Top 2 Export Value]],1)="M",VALUE(LEFT(Table2[[#This Row],[Top 2 Export Value]],LEN(Table2[[#This Row],[Top 2 Export Value]])-1))*1000000,IF(RIGHT(Table2[[#This Row],[Top 2 Export Value]],1)="B",VALUE(LEFT(Table2[[#This Row],[Top 2 Export Value]],LEN(Table2[[#This Row],[Top 2 Export Value]])-1))*1000000000,IF(RIGHT(D66,1)="k",VALUE(LEFT(Table2[[#This Row],[Top 2 Export Value]],LEN(Table2[[#This Row],[Top 2 Export Value]])-1))*1000,Table2[[#This Row],[Top 2 Export Value]])))</f>
        <v>15200000</v>
      </c>
      <c r="J66" s="9" t="s">
        <v>281</v>
      </c>
      <c r="K66" s="9" t="s">
        <v>228</v>
      </c>
      <c r="L66" s="9" t="s">
        <v>859</v>
      </c>
      <c r="M6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12300000</v>
      </c>
      <c r="N66" s="9" t="s">
        <v>153</v>
      </c>
    </row>
    <row r="67" spans="1:14" x14ac:dyDescent="0.3">
      <c r="A67" s="9" t="s">
        <v>26</v>
      </c>
      <c r="B67" s="9">
        <v>2023</v>
      </c>
      <c r="C67" s="9" t="s">
        <v>229</v>
      </c>
      <c r="D67" s="9" t="s">
        <v>655</v>
      </c>
      <c r="E67" s="11">
        <f t="shared" si="2"/>
        <v>25700000</v>
      </c>
      <c r="F67" s="9" t="s">
        <v>286</v>
      </c>
      <c r="G67" s="9" t="s">
        <v>192</v>
      </c>
      <c r="H67" s="9" t="s">
        <v>860</v>
      </c>
      <c r="I67" s="11">
        <f>IF(RIGHT(Table2[[#This Row],[Top 2 Export Value]],1)="M",VALUE(LEFT(Table2[[#This Row],[Top 2 Export Value]],LEN(Table2[[#This Row],[Top 2 Export Value]])-1))*1000000,IF(RIGHT(Table2[[#This Row],[Top 2 Export Value]],1)="B",VALUE(LEFT(Table2[[#This Row],[Top 2 Export Value]],LEN(Table2[[#This Row],[Top 2 Export Value]])-1))*1000000000,IF(RIGHT(D67,1)="k",VALUE(LEFT(Table2[[#This Row],[Top 2 Export Value]],LEN(Table2[[#This Row],[Top 2 Export Value]])-1))*1000,Table2[[#This Row],[Top 2 Export Value]])))</f>
        <v>23500000</v>
      </c>
      <c r="J67" s="9" t="s">
        <v>164</v>
      </c>
      <c r="K67" s="9" t="s">
        <v>230</v>
      </c>
      <c r="L67" s="9" t="s">
        <v>861</v>
      </c>
      <c r="M6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16300000</v>
      </c>
      <c r="N67" s="9" t="s">
        <v>279</v>
      </c>
    </row>
    <row r="68" spans="1:14" x14ac:dyDescent="0.3">
      <c r="A68" s="9" t="s">
        <v>27</v>
      </c>
      <c r="B68" s="9">
        <v>2021</v>
      </c>
      <c r="C68" s="9" t="s">
        <v>199</v>
      </c>
      <c r="D68" s="9" t="s">
        <v>862</v>
      </c>
      <c r="E68" s="11">
        <f t="shared" si="2"/>
        <v>1720000000</v>
      </c>
      <c r="F68" s="9" t="s">
        <v>137</v>
      </c>
      <c r="G68" s="9" t="s">
        <v>231</v>
      </c>
      <c r="H68" s="9" t="s">
        <v>863</v>
      </c>
      <c r="I68" s="11">
        <f>IF(RIGHT(Table2[[#This Row],[Top 2 Export Value]],1)="M",VALUE(LEFT(Table2[[#This Row],[Top 2 Export Value]],LEN(Table2[[#This Row],[Top 2 Export Value]])-1))*1000000,IF(RIGHT(Table2[[#This Row],[Top 2 Export Value]],1)="B",VALUE(LEFT(Table2[[#This Row],[Top 2 Export Value]],LEN(Table2[[#This Row],[Top 2 Export Value]])-1))*1000000000,IF(RIGHT(D68,1)="k",VALUE(LEFT(Table2[[#This Row],[Top 2 Export Value]],LEN(Table2[[#This Row],[Top 2 Export Value]])-1))*1000,Table2[[#This Row],[Top 2 Export Value]])))</f>
        <v>518000000</v>
      </c>
      <c r="J68" s="9" t="s">
        <v>277</v>
      </c>
      <c r="K68" s="9" t="s">
        <v>192</v>
      </c>
      <c r="L68" s="9" t="s">
        <v>864</v>
      </c>
      <c r="M6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503000000</v>
      </c>
      <c r="N68" s="9" t="s">
        <v>154</v>
      </c>
    </row>
    <row r="69" spans="1:14" x14ac:dyDescent="0.3">
      <c r="A69" s="9" t="s">
        <v>27</v>
      </c>
      <c r="B69" s="9">
        <v>2022</v>
      </c>
      <c r="C69" s="9" t="s">
        <v>199</v>
      </c>
      <c r="D69" s="9" t="s">
        <v>865</v>
      </c>
      <c r="E69" s="11">
        <f t="shared" si="2"/>
        <v>1130000000</v>
      </c>
      <c r="F69" s="9" t="s">
        <v>137</v>
      </c>
      <c r="G69" s="9" t="s">
        <v>192</v>
      </c>
      <c r="H69" s="9" t="s">
        <v>866</v>
      </c>
      <c r="I69" s="11">
        <f>IF(RIGHT(Table2[[#This Row],[Top 2 Export Value]],1)="M",VALUE(LEFT(Table2[[#This Row],[Top 2 Export Value]],LEN(Table2[[#This Row],[Top 2 Export Value]])-1))*1000000,IF(RIGHT(Table2[[#This Row],[Top 2 Export Value]],1)="B",VALUE(LEFT(Table2[[#This Row],[Top 2 Export Value]],LEN(Table2[[#This Row],[Top 2 Export Value]])-1))*1000000000,IF(RIGHT(D69,1)="k",VALUE(LEFT(Table2[[#This Row],[Top 2 Export Value]],LEN(Table2[[#This Row],[Top 2 Export Value]])-1))*1000,Table2[[#This Row],[Top 2 Export Value]])))</f>
        <v>537000000</v>
      </c>
      <c r="J69" s="9" t="s">
        <v>164</v>
      </c>
      <c r="K69" s="9" t="s">
        <v>202</v>
      </c>
      <c r="L69" s="9" t="s">
        <v>867</v>
      </c>
      <c r="M6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481000000</v>
      </c>
      <c r="N69" s="9" t="s">
        <v>137</v>
      </c>
    </row>
    <row r="70" spans="1:14" x14ac:dyDescent="0.3">
      <c r="A70" s="9" t="s">
        <v>27</v>
      </c>
      <c r="B70" s="9">
        <v>2023</v>
      </c>
      <c r="C70" s="9" t="s">
        <v>199</v>
      </c>
      <c r="D70" s="9" t="s">
        <v>868</v>
      </c>
      <c r="E70" s="11">
        <f t="shared" si="2"/>
        <v>1100000000</v>
      </c>
      <c r="F70" s="9" t="s">
        <v>137</v>
      </c>
      <c r="G70" s="9" t="s">
        <v>232</v>
      </c>
      <c r="H70" s="9" t="s">
        <v>869</v>
      </c>
      <c r="I70" s="11">
        <f>IF(RIGHT(Table2[[#This Row],[Top 2 Export Value]],1)="M",VALUE(LEFT(Table2[[#This Row],[Top 2 Export Value]],LEN(Table2[[#This Row],[Top 2 Export Value]])-1))*1000000,IF(RIGHT(Table2[[#This Row],[Top 2 Export Value]],1)="B",VALUE(LEFT(Table2[[#This Row],[Top 2 Export Value]],LEN(Table2[[#This Row],[Top 2 Export Value]])-1))*1000000000,IF(RIGHT(D70,1)="k",VALUE(LEFT(Table2[[#This Row],[Top 2 Export Value]],LEN(Table2[[#This Row],[Top 2 Export Value]])-1))*1000,Table2[[#This Row],[Top 2 Export Value]])))</f>
        <v>440000000</v>
      </c>
      <c r="J70" s="9" t="s">
        <v>137</v>
      </c>
      <c r="K70" s="9" t="s">
        <v>192</v>
      </c>
      <c r="L70" s="9" t="s">
        <v>870</v>
      </c>
      <c r="M7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356000000</v>
      </c>
      <c r="N70" s="9" t="s">
        <v>164</v>
      </c>
    </row>
    <row r="71" spans="1:14" x14ac:dyDescent="0.3">
      <c r="A71" s="9" t="s">
        <v>28</v>
      </c>
      <c r="B71" s="9">
        <v>2021</v>
      </c>
      <c r="C71" s="9" t="s">
        <v>199</v>
      </c>
      <c r="D71" s="9" t="s">
        <v>871</v>
      </c>
      <c r="E71" s="11">
        <f t="shared" si="2"/>
        <v>67200000</v>
      </c>
      <c r="F71" s="9" t="s">
        <v>137</v>
      </c>
      <c r="G71" s="9" t="s">
        <v>78</v>
      </c>
      <c r="H71" s="9" t="s">
        <v>872</v>
      </c>
      <c r="I71" s="11">
        <f>IF(RIGHT(Table2[[#This Row],[Top 2 Export Value]],1)="M",VALUE(LEFT(Table2[[#This Row],[Top 2 Export Value]],LEN(Table2[[#This Row],[Top 2 Export Value]])-1))*1000000,IF(RIGHT(Table2[[#This Row],[Top 2 Export Value]],1)="B",VALUE(LEFT(Table2[[#This Row],[Top 2 Export Value]],LEN(Table2[[#This Row],[Top 2 Export Value]])-1))*1000000000,IF(RIGHT(D71,1)="k",VALUE(LEFT(Table2[[#This Row],[Top 2 Export Value]],LEN(Table2[[#This Row],[Top 2 Export Value]])-1))*1000,Table2[[#This Row],[Top 2 Export Value]])))</f>
        <v>57400000</v>
      </c>
      <c r="J71" s="9" t="s">
        <v>287</v>
      </c>
      <c r="K71" s="9" t="s">
        <v>227</v>
      </c>
      <c r="L71" s="9" t="s">
        <v>873</v>
      </c>
      <c r="M7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53500000</v>
      </c>
      <c r="N71" s="9" t="s">
        <v>164</v>
      </c>
    </row>
    <row r="72" spans="1:14" x14ac:dyDescent="0.3">
      <c r="A72" s="9" t="s">
        <v>28</v>
      </c>
      <c r="B72" s="9">
        <v>2022</v>
      </c>
      <c r="C72" s="9" t="s">
        <v>227</v>
      </c>
      <c r="D72" s="9" t="s">
        <v>874</v>
      </c>
      <c r="E72" s="11">
        <f t="shared" si="2"/>
        <v>101000000</v>
      </c>
      <c r="F72" s="9" t="s">
        <v>164</v>
      </c>
      <c r="G72" s="9" t="s">
        <v>233</v>
      </c>
      <c r="H72" s="9" t="s">
        <v>479</v>
      </c>
      <c r="I72" s="11">
        <f>IF(RIGHT(Table2[[#This Row],[Top 2 Export Value]],1)="M",VALUE(LEFT(Table2[[#This Row],[Top 2 Export Value]],LEN(Table2[[#This Row],[Top 2 Export Value]])-1))*1000000,IF(RIGHT(Table2[[#This Row],[Top 2 Export Value]],1)="B",VALUE(LEFT(Table2[[#This Row],[Top 2 Export Value]],LEN(Table2[[#This Row],[Top 2 Export Value]])-1))*1000000000,IF(RIGHT(D72,1)="k",VALUE(LEFT(Table2[[#This Row],[Top 2 Export Value]],LEN(Table2[[#This Row],[Top 2 Export Value]])-1))*1000,Table2[[#This Row],[Top 2 Export Value]])))</f>
        <v>76900000</v>
      </c>
      <c r="J72" s="9" t="s">
        <v>137</v>
      </c>
      <c r="K72" s="9" t="s">
        <v>78</v>
      </c>
      <c r="L72" s="9" t="s">
        <v>875</v>
      </c>
      <c r="M7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50800000</v>
      </c>
      <c r="N72" s="9" t="s">
        <v>287</v>
      </c>
    </row>
    <row r="73" spans="1:14" x14ac:dyDescent="0.3">
      <c r="A73" s="9" t="s">
        <v>28</v>
      </c>
      <c r="B73" s="9">
        <v>2023</v>
      </c>
      <c r="C73" s="9" t="s">
        <v>233</v>
      </c>
      <c r="D73" s="9" t="s">
        <v>876</v>
      </c>
      <c r="E73" s="11">
        <f t="shared" si="2"/>
        <v>216000000</v>
      </c>
      <c r="F73" s="9" t="s">
        <v>137</v>
      </c>
      <c r="G73" s="9" t="s">
        <v>227</v>
      </c>
      <c r="H73" s="9" t="s">
        <v>877</v>
      </c>
      <c r="I73" s="11">
        <f>IF(RIGHT(Table2[[#This Row],[Top 2 Export Value]],1)="M",VALUE(LEFT(Table2[[#This Row],[Top 2 Export Value]],LEN(Table2[[#This Row],[Top 2 Export Value]])-1))*1000000,IF(RIGHT(Table2[[#This Row],[Top 2 Export Value]],1)="B",VALUE(LEFT(Table2[[#This Row],[Top 2 Export Value]],LEN(Table2[[#This Row],[Top 2 Export Value]])-1))*1000000000,IF(RIGHT(D73,1)="k",VALUE(LEFT(Table2[[#This Row],[Top 2 Export Value]],LEN(Table2[[#This Row],[Top 2 Export Value]])-1))*1000,Table2[[#This Row],[Top 2 Export Value]])))</f>
        <v>73800000</v>
      </c>
      <c r="J73" s="9" t="s">
        <v>164</v>
      </c>
      <c r="K73" s="9" t="s">
        <v>78</v>
      </c>
      <c r="L73" s="9" t="s">
        <v>878</v>
      </c>
      <c r="M7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13500000</v>
      </c>
      <c r="N73" s="9" t="s">
        <v>288</v>
      </c>
    </row>
    <row r="74" spans="1:14" x14ac:dyDescent="0.3">
      <c r="A74" s="9" t="s">
        <v>29</v>
      </c>
      <c r="B74" s="9">
        <v>2021</v>
      </c>
      <c r="C74" s="9" t="s">
        <v>227</v>
      </c>
      <c r="D74" s="9" t="s">
        <v>343</v>
      </c>
      <c r="E74" s="11">
        <f t="shared" si="2"/>
        <v>145000000</v>
      </c>
      <c r="F74" s="9" t="s">
        <v>164</v>
      </c>
      <c r="G74" s="9" t="s">
        <v>234</v>
      </c>
      <c r="H74" s="9" t="s">
        <v>879</v>
      </c>
      <c r="I74" s="11">
        <f>IF(RIGHT(Table2[[#This Row],[Top 2 Export Value]],1)="M",VALUE(LEFT(Table2[[#This Row],[Top 2 Export Value]],LEN(Table2[[#This Row],[Top 2 Export Value]])-1))*1000000,IF(RIGHT(Table2[[#This Row],[Top 2 Export Value]],1)="B",VALUE(LEFT(Table2[[#This Row],[Top 2 Export Value]],LEN(Table2[[#This Row],[Top 2 Export Value]])-1))*1000000000,IF(RIGHT(D74,1)="k",VALUE(LEFT(Table2[[#This Row],[Top 2 Export Value]],LEN(Table2[[#This Row],[Top 2 Export Value]])-1))*1000,Table2[[#This Row],[Top 2 Export Value]])))</f>
        <v>31700000</v>
      </c>
      <c r="J74" s="9" t="s">
        <v>168</v>
      </c>
      <c r="K74" s="9" t="s">
        <v>191</v>
      </c>
      <c r="L74" s="9" t="s">
        <v>880</v>
      </c>
      <c r="M7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1900000</v>
      </c>
      <c r="N74" s="9" t="s">
        <v>145</v>
      </c>
    </row>
    <row r="75" spans="1:14" x14ac:dyDescent="0.3">
      <c r="A75" s="9" t="s">
        <v>29</v>
      </c>
      <c r="B75" s="9">
        <v>2022</v>
      </c>
      <c r="C75" s="9" t="s">
        <v>227</v>
      </c>
      <c r="D75" s="9" t="s">
        <v>410</v>
      </c>
      <c r="E75" s="11">
        <f t="shared" si="2"/>
        <v>206000000</v>
      </c>
      <c r="F75" s="9" t="s">
        <v>164</v>
      </c>
      <c r="G75" s="9" t="s">
        <v>78</v>
      </c>
      <c r="H75" s="9" t="s">
        <v>881</v>
      </c>
      <c r="I75" s="11">
        <f>IF(RIGHT(Table2[[#This Row],[Top 2 Export Value]],1)="M",VALUE(LEFT(Table2[[#This Row],[Top 2 Export Value]],LEN(Table2[[#This Row],[Top 2 Export Value]])-1))*1000000,IF(RIGHT(Table2[[#This Row],[Top 2 Export Value]],1)="B",VALUE(LEFT(Table2[[#This Row],[Top 2 Export Value]],LEN(Table2[[#This Row],[Top 2 Export Value]])-1))*1000000000,IF(RIGHT(D75,1)="k",VALUE(LEFT(Table2[[#This Row],[Top 2 Export Value]],LEN(Table2[[#This Row],[Top 2 Export Value]])-1))*1000,Table2[[#This Row],[Top 2 Export Value]])))</f>
        <v>16200000</v>
      </c>
      <c r="J75" s="9" t="s">
        <v>168</v>
      </c>
      <c r="K75" s="9" t="s">
        <v>235</v>
      </c>
      <c r="L75" s="9" t="s">
        <v>882</v>
      </c>
      <c r="M7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654000</v>
      </c>
      <c r="N75" s="9" t="s">
        <v>153</v>
      </c>
    </row>
    <row r="76" spans="1:14" x14ac:dyDescent="0.3">
      <c r="A76" s="9" t="s">
        <v>29</v>
      </c>
      <c r="B76" s="9">
        <v>2023</v>
      </c>
      <c r="C76" s="9" t="s">
        <v>227</v>
      </c>
      <c r="D76" s="9" t="s">
        <v>883</v>
      </c>
      <c r="E76" s="11">
        <f t="shared" si="2"/>
        <v>76800000</v>
      </c>
      <c r="F76" s="9" t="s">
        <v>164</v>
      </c>
      <c r="G76" s="9" t="s">
        <v>228</v>
      </c>
      <c r="H76" s="9" t="s">
        <v>878</v>
      </c>
      <c r="I76" s="11">
        <f>IF(RIGHT(Table2[[#This Row],[Top 2 Export Value]],1)="M",VALUE(LEFT(Table2[[#This Row],[Top 2 Export Value]],LEN(Table2[[#This Row],[Top 2 Export Value]])-1))*1000000,IF(RIGHT(Table2[[#This Row],[Top 2 Export Value]],1)="B",VALUE(LEFT(Table2[[#This Row],[Top 2 Export Value]],LEN(Table2[[#This Row],[Top 2 Export Value]])-1))*1000000000,IF(RIGHT(D76,1)="k",VALUE(LEFT(Table2[[#This Row],[Top 2 Export Value]],LEN(Table2[[#This Row],[Top 2 Export Value]])-1))*1000,Table2[[#This Row],[Top 2 Export Value]])))</f>
        <v>13500000</v>
      </c>
      <c r="J76" s="9" t="s">
        <v>153</v>
      </c>
      <c r="K76" s="9" t="s">
        <v>78</v>
      </c>
      <c r="L76" s="9" t="s">
        <v>398</v>
      </c>
      <c r="M7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13300000</v>
      </c>
      <c r="N76" s="9" t="s">
        <v>168</v>
      </c>
    </row>
    <row r="77" spans="1:14" x14ac:dyDescent="0.3">
      <c r="A77" s="9" t="s">
        <v>30</v>
      </c>
      <c r="B77" s="9">
        <v>2021</v>
      </c>
      <c r="C77" s="9" t="s">
        <v>194</v>
      </c>
      <c r="D77" s="9" t="s">
        <v>803</v>
      </c>
      <c r="E77" s="11">
        <f t="shared" si="2"/>
        <v>1400000000</v>
      </c>
      <c r="F77" s="9" t="s">
        <v>276</v>
      </c>
      <c r="G77" s="9" t="s">
        <v>223</v>
      </c>
      <c r="H77" s="9" t="s">
        <v>884</v>
      </c>
      <c r="I77" s="11">
        <f>IF(RIGHT(Table2[[#This Row],[Top 2 Export Value]],1)="M",VALUE(LEFT(Table2[[#This Row],[Top 2 Export Value]],LEN(Table2[[#This Row],[Top 2 Export Value]])-1))*1000000,IF(RIGHT(Table2[[#This Row],[Top 2 Export Value]],1)="B",VALUE(LEFT(Table2[[#This Row],[Top 2 Export Value]],LEN(Table2[[#This Row],[Top 2 Export Value]])-1))*1000000000,IF(RIGHT(D77,1)="k",VALUE(LEFT(Table2[[#This Row],[Top 2 Export Value]],LEN(Table2[[#This Row],[Top 2 Export Value]])-1))*1000,Table2[[#This Row],[Top 2 Export Value]])))</f>
        <v>735400000</v>
      </c>
      <c r="J77" s="9" t="s">
        <v>137</v>
      </c>
      <c r="K77" s="9" t="s">
        <v>193</v>
      </c>
      <c r="L77" s="9" t="s">
        <v>885</v>
      </c>
      <c r="M7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315000000</v>
      </c>
      <c r="N77" s="9" t="s">
        <v>280</v>
      </c>
    </row>
    <row r="78" spans="1:14" x14ac:dyDescent="0.3">
      <c r="A78" s="9" t="s">
        <v>30</v>
      </c>
      <c r="B78" s="9">
        <v>2022</v>
      </c>
      <c r="C78" s="9" t="s">
        <v>194</v>
      </c>
      <c r="D78" s="9" t="s">
        <v>447</v>
      </c>
      <c r="E78" s="11">
        <f t="shared" si="2"/>
        <v>1200000000</v>
      </c>
      <c r="F78" s="9" t="s">
        <v>276</v>
      </c>
      <c r="G78" s="9" t="s">
        <v>223</v>
      </c>
      <c r="H78" s="9" t="s">
        <v>886</v>
      </c>
      <c r="I78" s="11">
        <f>IF(RIGHT(Table2[[#This Row],[Top 2 Export Value]],1)="M",VALUE(LEFT(Table2[[#This Row],[Top 2 Export Value]],LEN(Table2[[#This Row],[Top 2 Export Value]])-1))*1000000,IF(RIGHT(Table2[[#This Row],[Top 2 Export Value]],1)="B",VALUE(LEFT(Table2[[#This Row],[Top 2 Export Value]],LEN(Table2[[#This Row],[Top 2 Export Value]])-1))*1000000000,IF(RIGHT(D78,1)="k",VALUE(LEFT(Table2[[#This Row],[Top 2 Export Value]],LEN(Table2[[#This Row],[Top 2 Export Value]])-1))*1000,Table2[[#This Row],[Top 2 Export Value]])))</f>
        <v>827300000</v>
      </c>
      <c r="J78" s="9" t="s">
        <v>137</v>
      </c>
      <c r="K78" s="9" t="s">
        <v>193</v>
      </c>
      <c r="L78" s="9" t="s">
        <v>887</v>
      </c>
      <c r="M7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238300000</v>
      </c>
      <c r="N78" s="9" t="s">
        <v>278</v>
      </c>
    </row>
    <row r="79" spans="1:14" x14ac:dyDescent="0.3">
      <c r="A79" s="9" t="s">
        <v>30</v>
      </c>
      <c r="B79" s="9">
        <v>2023</v>
      </c>
      <c r="C79" s="9" t="s">
        <v>194</v>
      </c>
      <c r="D79" s="9" t="s">
        <v>888</v>
      </c>
      <c r="E79" s="11">
        <f t="shared" si="2"/>
        <v>1300000000</v>
      </c>
      <c r="F79" s="9" t="s">
        <v>276</v>
      </c>
      <c r="G79" s="9" t="s">
        <v>223</v>
      </c>
      <c r="H79" s="9" t="s">
        <v>889</v>
      </c>
      <c r="I79" s="11">
        <f>IF(RIGHT(Table2[[#This Row],[Top 2 Export Value]],1)="M",VALUE(LEFT(Table2[[#This Row],[Top 2 Export Value]],LEN(Table2[[#This Row],[Top 2 Export Value]])-1))*1000000,IF(RIGHT(Table2[[#This Row],[Top 2 Export Value]],1)="B",VALUE(LEFT(Table2[[#This Row],[Top 2 Export Value]],LEN(Table2[[#This Row],[Top 2 Export Value]])-1))*1000000000,IF(RIGHT(D79,1)="k",VALUE(LEFT(Table2[[#This Row],[Top 2 Export Value]],LEN(Table2[[#This Row],[Top 2 Export Value]])-1))*1000,Table2[[#This Row],[Top 2 Export Value]])))</f>
        <v>781700000</v>
      </c>
      <c r="J79" s="9" t="s">
        <v>137</v>
      </c>
      <c r="K79" s="9" t="s">
        <v>193</v>
      </c>
      <c r="L79" s="9" t="s">
        <v>890</v>
      </c>
      <c r="M7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246700000</v>
      </c>
      <c r="N79" s="9" t="s">
        <v>280</v>
      </c>
    </row>
    <row r="80" spans="1:14" x14ac:dyDescent="0.3">
      <c r="A80" s="9" t="s">
        <v>31</v>
      </c>
      <c r="B80" s="9">
        <v>2021</v>
      </c>
      <c r="C80" s="9" t="s">
        <v>220</v>
      </c>
      <c r="D80" s="9" t="s">
        <v>397</v>
      </c>
      <c r="E80" s="11">
        <f t="shared" si="2"/>
        <v>13600000</v>
      </c>
      <c r="F80" s="9" t="s">
        <v>50</v>
      </c>
      <c r="G80" s="9" t="s">
        <v>236</v>
      </c>
      <c r="H80" s="9" t="s">
        <v>891</v>
      </c>
      <c r="I80" s="11">
        <f>IF(RIGHT(Table2[[#This Row],[Top 2 Export Value]],1)="M",VALUE(LEFT(Table2[[#This Row],[Top 2 Export Value]],LEN(Table2[[#This Row],[Top 2 Export Value]])-1))*1000000,IF(RIGHT(Table2[[#This Row],[Top 2 Export Value]],1)="B",VALUE(LEFT(Table2[[#This Row],[Top 2 Export Value]],LEN(Table2[[#This Row],[Top 2 Export Value]])-1))*1000000000,IF(RIGHT(D80,1)="k",VALUE(LEFT(Table2[[#This Row],[Top 2 Export Value]],LEN(Table2[[#This Row],[Top 2 Export Value]])-1))*1000,Table2[[#This Row],[Top 2 Export Value]])))</f>
        <v>6660000</v>
      </c>
      <c r="J80" s="9" t="s">
        <v>50</v>
      </c>
      <c r="K80" s="9" t="s">
        <v>236</v>
      </c>
      <c r="L80" s="9" t="s">
        <v>892</v>
      </c>
      <c r="M8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3620000</v>
      </c>
      <c r="N80" s="9" t="s">
        <v>50</v>
      </c>
    </row>
    <row r="81" spans="1:14" x14ac:dyDescent="0.3">
      <c r="A81" s="9" t="s">
        <v>31</v>
      </c>
      <c r="B81" s="9">
        <v>2022</v>
      </c>
      <c r="C81" s="9" t="s">
        <v>220</v>
      </c>
      <c r="D81" s="9" t="s">
        <v>861</v>
      </c>
      <c r="E81" s="11">
        <f t="shared" si="2"/>
        <v>16300000</v>
      </c>
      <c r="F81" s="9" t="s">
        <v>50</v>
      </c>
      <c r="G81" s="9" t="s">
        <v>236</v>
      </c>
      <c r="H81" s="9" t="s">
        <v>893</v>
      </c>
      <c r="I81" s="11">
        <f>IF(RIGHT(Table2[[#This Row],[Top 2 Export Value]],1)="M",VALUE(LEFT(Table2[[#This Row],[Top 2 Export Value]],LEN(Table2[[#This Row],[Top 2 Export Value]])-1))*1000000,IF(RIGHT(Table2[[#This Row],[Top 2 Export Value]],1)="B",VALUE(LEFT(Table2[[#This Row],[Top 2 Export Value]],LEN(Table2[[#This Row],[Top 2 Export Value]])-1))*1000000000,IF(RIGHT(D81,1)="k",VALUE(LEFT(Table2[[#This Row],[Top 2 Export Value]],LEN(Table2[[#This Row],[Top 2 Export Value]])-1))*1000,Table2[[#This Row],[Top 2 Export Value]])))</f>
        <v>4950000</v>
      </c>
      <c r="J81" s="9" t="s">
        <v>50</v>
      </c>
      <c r="K81" s="9" t="s">
        <v>78</v>
      </c>
      <c r="L81" s="9" t="s">
        <v>894</v>
      </c>
      <c r="M8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4160000</v>
      </c>
      <c r="N81" s="9" t="s">
        <v>50</v>
      </c>
    </row>
    <row r="82" spans="1:14" x14ac:dyDescent="0.3">
      <c r="A82" s="9" t="s">
        <v>31</v>
      </c>
      <c r="B82" s="9">
        <v>2023</v>
      </c>
      <c r="C82" s="9" t="s">
        <v>59</v>
      </c>
      <c r="D82" s="9" t="s">
        <v>392</v>
      </c>
      <c r="E82" s="11">
        <f t="shared" si="2"/>
        <v>14200000</v>
      </c>
      <c r="F82" s="9" t="s">
        <v>50</v>
      </c>
      <c r="G82" s="9" t="s">
        <v>234</v>
      </c>
      <c r="H82" s="9" t="s">
        <v>895</v>
      </c>
      <c r="I82" s="11">
        <f>IF(RIGHT(Table2[[#This Row],[Top 2 Export Value]],1)="M",VALUE(LEFT(Table2[[#This Row],[Top 2 Export Value]],LEN(Table2[[#This Row],[Top 2 Export Value]])-1))*1000000,IF(RIGHT(Table2[[#This Row],[Top 2 Export Value]],1)="B",VALUE(LEFT(Table2[[#This Row],[Top 2 Export Value]],LEN(Table2[[#This Row],[Top 2 Export Value]])-1))*1000000000,IF(RIGHT(D82,1)="k",VALUE(LEFT(Table2[[#This Row],[Top 2 Export Value]],LEN(Table2[[#This Row],[Top 2 Export Value]])-1))*1000,Table2[[#This Row],[Top 2 Export Value]])))</f>
        <v>5050000</v>
      </c>
      <c r="J82" s="9" t="s">
        <v>50</v>
      </c>
      <c r="K82" s="9" t="s">
        <v>236</v>
      </c>
      <c r="L82" s="9" t="s">
        <v>896</v>
      </c>
      <c r="M8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4170000</v>
      </c>
      <c r="N82" s="9" t="s">
        <v>50</v>
      </c>
    </row>
    <row r="83" spans="1:14" x14ac:dyDescent="0.3">
      <c r="A83" s="9" t="s">
        <v>32</v>
      </c>
      <c r="B83" s="9">
        <v>2021</v>
      </c>
      <c r="C83" s="9" t="s">
        <v>84</v>
      </c>
      <c r="D83" s="9" t="s">
        <v>897</v>
      </c>
      <c r="E83" s="11">
        <f t="shared" si="2"/>
        <v>78800000</v>
      </c>
      <c r="F83" s="9" t="s">
        <v>12</v>
      </c>
      <c r="G83" s="9" t="s">
        <v>233</v>
      </c>
      <c r="H83" s="9" t="s">
        <v>898</v>
      </c>
      <c r="I83" s="11">
        <f>IF(RIGHT(Table2[[#This Row],[Top 2 Export Value]],1)="M",VALUE(LEFT(Table2[[#This Row],[Top 2 Export Value]],LEN(Table2[[#This Row],[Top 2 Export Value]])-1))*1000000,IF(RIGHT(Table2[[#This Row],[Top 2 Export Value]],1)="B",VALUE(LEFT(Table2[[#This Row],[Top 2 Export Value]],LEN(Table2[[#This Row],[Top 2 Export Value]])-1))*1000000000,IF(RIGHT(D83,1)="k",VALUE(LEFT(Table2[[#This Row],[Top 2 Export Value]],LEN(Table2[[#This Row],[Top 2 Export Value]])-1))*1000,Table2[[#This Row],[Top 2 Export Value]])))</f>
        <v>41200000</v>
      </c>
      <c r="J83" s="9" t="s">
        <v>137</v>
      </c>
      <c r="K83" s="9" t="s">
        <v>237</v>
      </c>
      <c r="L83" s="9" t="s">
        <v>899</v>
      </c>
      <c r="M8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4530000</v>
      </c>
      <c r="N83" s="9" t="s">
        <v>137</v>
      </c>
    </row>
    <row r="84" spans="1:14" x14ac:dyDescent="0.3">
      <c r="A84" s="9" t="s">
        <v>32</v>
      </c>
      <c r="B84" s="9">
        <v>2022</v>
      </c>
      <c r="C84" s="9" t="s">
        <v>84</v>
      </c>
      <c r="D84" s="9" t="s">
        <v>742</v>
      </c>
      <c r="E84" s="11">
        <f t="shared" si="2"/>
        <v>113000000</v>
      </c>
      <c r="F84" s="9" t="s">
        <v>137</v>
      </c>
      <c r="G84" s="9" t="s">
        <v>233</v>
      </c>
      <c r="H84" s="9" t="s">
        <v>900</v>
      </c>
      <c r="I84" s="11">
        <f>IF(RIGHT(Table2[[#This Row],[Top 2 Export Value]],1)="M",VALUE(LEFT(Table2[[#This Row],[Top 2 Export Value]],LEN(Table2[[#This Row],[Top 2 Export Value]])-1))*1000000,IF(RIGHT(Table2[[#This Row],[Top 2 Export Value]],1)="B",VALUE(LEFT(Table2[[#This Row],[Top 2 Export Value]],LEN(Table2[[#This Row],[Top 2 Export Value]])-1))*1000000000,IF(RIGHT(D84,1)="k",VALUE(LEFT(Table2[[#This Row],[Top 2 Export Value]],LEN(Table2[[#This Row],[Top 2 Export Value]])-1))*1000,Table2[[#This Row],[Top 2 Export Value]])))</f>
        <v>49200000</v>
      </c>
      <c r="J84" s="9" t="s">
        <v>137</v>
      </c>
      <c r="K84" s="9" t="s">
        <v>238</v>
      </c>
      <c r="L84" s="9" t="s">
        <v>901</v>
      </c>
      <c r="M8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9260000</v>
      </c>
      <c r="N84" s="9" t="s">
        <v>164</v>
      </c>
    </row>
    <row r="85" spans="1:14" x14ac:dyDescent="0.3">
      <c r="A85" s="9" t="s">
        <v>32</v>
      </c>
      <c r="B85" s="9">
        <v>2023</v>
      </c>
      <c r="C85" s="9" t="s">
        <v>84</v>
      </c>
      <c r="D85" s="9" t="s">
        <v>902</v>
      </c>
      <c r="E85" s="11">
        <f t="shared" si="2"/>
        <v>71200000</v>
      </c>
      <c r="F85" s="9" t="s">
        <v>168</v>
      </c>
      <c r="G85" s="9" t="s">
        <v>233</v>
      </c>
      <c r="H85" s="9" t="s">
        <v>903</v>
      </c>
      <c r="I85" s="11">
        <f>IF(RIGHT(Table2[[#This Row],[Top 2 Export Value]],1)="M",VALUE(LEFT(Table2[[#This Row],[Top 2 Export Value]],LEN(Table2[[#This Row],[Top 2 Export Value]])-1))*1000000,IF(RIGHT(Table2[[#This Row],[Top 2 Export Value]],1)="B",VALUE(LEFT(Table2[[#This Row],[Top 2 Export Value]],LEN(Table2[[#This Row],[Top 2 Export Value]])-1))*1000000000,IF(RIGHT(D85,1)="k",VALUE(LEFT(Table2[[#This Row],[Top 2 Export Value]],LEN(Table2[[#This Row],[Top 2 Export Value]])-1))*1000,Table2[[#This Row],[Top 2 Export Value]])))</f>
        <v>55100000</v>
      </c>
      <c r="J85" s="9" t="s">
        <v>137</v>
      </c>
      <c r="K85" s="9" t="s">
        <v>238</v>
      </c>
      <c r="L85" s="9" t="s">
        <v>904</v>
      </c>
      <c r="M8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7410000</v>
      </c>
      <c r="N85" s="9" t="s">
        <v>39</v>
      </c>
    </row>
    <row r="86" spans="1:14" x14ac:dyDescent="0.3">
      <c r="A86" s="9" t="s">
        <v>33</v>
      </c>
      <c r="B86" s="9">
        <v>2021</v>
      </c>
      <c r="C86" s="9" t="s">
        <v>78</v>
      </c>
      <c r="D86" s="9" t="s">
        <v>905</v>
      </c>
      <c r="E86" s="11">
        <f t="shared" si="2"/>
        <v>20000000</v>
      </c>
      <c r="F86" s="9" t="s">
        <v>289</v>
      </c>
      <c r="G86" s="9" t="s">
        <v>197</v>
      </c>
      <c r="H86" s="9" t="s">
        <v>906</v>
      </c>
      <c r="I86" s="11">
        <f>IF(RIGHT(Table2[[#This Row],[Top 2 Export Value]],1)="M",VALUE(LEFT(Table2[[#This Row],[Top 2 Export Value]],LEN(Table2[[#This Row],[Top 2 Export Value]])-1))*1000000,IF(RIGHT(Table2[[#This Row],[Top 2 Export Value]],1)="B",VALUE(LEFT(Table2[[#This Row],[Top 2 Export Value]],LEN(Table2[[#This Row],[Top 2 Export Value]])-1))*1000000000,IF(RIGHT(D86,1)="k",VALUE(LEFT(Table2[[#This Row],[Top 2 Export Value]],LEN(Table2[[#This Row],[Top 2 Export Value]])-1))*1000,Table2[[#This Row],[Top 2 Export Value]])))</f>
        <v>4150000.0000000005</v>
      </c>
      <c r="J86" s="9" t="s">
        <v>287</v>
      </c>
      <c r="K86" s="9" t="s">
        <v>178</v>
      </c>
      <c r="L86" s="9" t="s">
        <v>907</v>
      </c>
      <c r="M8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3250000</v>
      </c>
      <c r="N86" s="9" t="s">
        <v>39</v>
      </c>
    </row>
    <row r="87" spans="1:14" x14ac:dyDescent="0.3">
      <c r="A87" s="9" t="s">
        <v>33</v>
      </c>
      <c r="B87" s="9">
        <v>2022</v>
      </c>
      <c r="C87" s="9" t="s">
        <v>78</v>
      </c>
      <c r="D87" s="9" t="s">
        <v>512</v>
      </c>
      <c r="E87" s="11">
        <f t="shared" si="2"/>
        <v>35300000</v>
      </c>
      <c r="F87" s="9" t="s">
        <v>289</v>
      </c>
      <c r="G87" s="9" t="s">
        <v>178</v>
      </c>
      <c r="H87" s="9" t="s">
        <v>908</v>
      </c>
      <c r="I87" s="11">
        <f>IF(RIGHT(Table2[[#This Row],[Top 2 Export Value]],1)="M",VALUE(LEFT(Table2[[#This Row],[Top 2 Export Value]],LEN(Table2[[#This Row],[Top 2 Export Value]])-1))*1000000,IF(RIGHT(Table2[[#This Row],[Top 2 Export Value]],1)="B",VALUE(LEFT(Table2[[#This Row],[Top 2 Export Value]],LEN(Table2[[#This Row],[Top 2 Export Value]])-1))*1000000000,IF(RIGHT(D87,1)="k",VALUE(LEFT(Table2[[#This Row],[Top 2 Export Value]],LEN(Table2[[#This Row],[Top 2 Export Value]])-1))*1000,Table2[[#This Row],[Top 2 Export Value]])))</f>
        <v>5870000</v>
      </c>
      <c r="J87" s="9" t="s">
        <v>39</v>
      </c>
      <c r="K87" s="9" t="s">
        <v>179</v>
      </c>
      <c r="L87" s="9" t="s">
        <v>909</v>
      </c>
      <c r="M8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3430000</v>
      </c>
      <c r="N87" s="9" t="s">
        <v>39</v>
      </c>
    </row>
    <row r="88" spans="1:14" x14ac:dyDescent="0.3">
      <c r="A88" s="9" t="s">
        <v>33</v>
      </c>
      <c r="B88" s="9">
        <v>2023</v>
      </c>
      <c r="C88" s="9" t="s">
        <v>78</v>
      </c>
      <c r="D88" s="9" t="s">
        <v>910</v>
      </c>
      <c r="E88" s="11">
        <f t="shared" si="2"/>
        <v>34500000</v>
      </c>
      <c r="F88" s="9" t="s">
        <v>289</v>
      </c>
      <c r="G88" s="9" t="s">
        <v>178</v>
      </c>
      <c r="H88" s="9" t="s">
        <v>743</v>
      </c>
      <c r="I88" s="11">
        <f>IF(RIGHT(Table2[[#This Row],[Top 2 Export Value]],1)="M",VALUE(LEFT(Table2[[#This Row],[Top 2 Export Value]],LEN(Table2[[#This Row],[Top 2 Export Value]])-1))*1000000,IF(RIGHT(Table2[[#This Row],[Top 2 Export Value]],1)="B",VALUE(LEFT(Table2[[#This Row],[Top 2 Export Value]],LEN(Table2[[#This Row],[Top 2 Export Value]])-1))*1000000000,IF(RIGHT(D88,1)="k",VALUE(LEFT(Table2[[#This Row],[Top 2 Export Value]],LEN(Table2[[#This Row],[Top 2 Export Value]])-1))*1000,Table2[[#This Row],[Top 2 Export Value]])))</f>
        <v>11300000</v>
      </c>
      <c r="J88" s="9" t="s">
        <v>39</v>
      </c>
      <c r="K88" s="9" t="s">
        <v>239</v>
      </c>
      <c r="L88" s="9" t="s">
        <v>911</v>
      </c>
      <c r="M8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2910000</v>
      </c>
      <c r="N88" s="9" t="s">
        <v>54</v>
      </c>
    </row>
    <row r="89" spans="1:14" x14ac:dyDescent="0.3">
      <c r="A89" s="9" t="s">
        <v>34</v>
      </c>
      <c r="B89" s="9">
        <v>2021</v>
      </c>
      <c r="C89" s="9" t="s">
        <v>212</v>
      </c>
      <c r="D89" s="9" t="s">
        <v>912</v>
      </c>
      <c r="E89" s="11">
        <f t="shared" si="2"/>
        <v>533400000</v>
      </c>
      <c r="F89" s="9" t="s">
        <v>280</v>
      </c>
      <c r="G89" s="9" t="s">
        <v>210</v>
      </c>
      <c r="H89" s="9" t="s">
        <v>913</v>
      </c>
      <c r="I89" s="11">
        <f>IF(RIGHT(Table2[[#This Row],[Top 2 Export Value]],1)="M",VALUE(LEFT(Table2[[#This Row],[Top 2 Export Value]],LEN(Table2[[#This Row],[Top 2 Export Value]])-1))*1000000,IF(RIGHT(Table2[[#This Row],[Top 2 Export Value]],1)="B",VALUE(LEFT(Table2[[#This Row],[Top 2 Export Value]],LEN(Table2[[#This Row],[Top 2 Export Value]])-1))*1000000000,IF(RIGHT(D89,1)="k",VALUE(LEFT(Table2[[#This Row],[Top 2 Export Value]],LEN(Table2[[#This Row],[Top 2 Export Value]])-1))*1000,Table2[[#This Row],[Top 2 Export Value]])))</f>
        <v>273000000</v>
      </c>
      <c r="J89" s="9" t="s">
        <v>155</v>
      </c>
      <c r="K89" s="9" t="s">
        <v>211</v>
      </c>
      <c r="L89" s="9" t="s">
        <v>914</v>
      </c>
      <c r="M8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75500000</v>
      </c>
      <c r="N89" s="9" t="s">
        <v>155</v>
      </c>
    </row>
    <row r="90" spans="1:14" x14ac:dyDescent="0.3">
      <c r="A90" s="9" t="s">
        <v>34</v>
      </c>
      <c r="B90" s="9">
        <v>2022</v>
      </c>
      <c r="C90" s="9" t="s">
        <v>212</v>
      </c>
      <c r="D90" s="9" t="s">
        <v>915</v>
      </c>
      <c r="E90" s="11">
        <f t="shared" si="2"/>
        <v>617300000</v>
      </c>
      <c r="F90" s="9" t="s">
        <v>280</v>
      </c>
      <c r="G90" s="9" t="s">
        <v>210</v>
      </c>
      <c r="H90" s="9" t="s">
        <v>916</v>
      </c>
      <c r="I90" s="11">
        <f>IF(RIGHT(Table2[[#This Row],[Top 2 Export Value]],1)="M",VALUE(LEFT(Table2[[#This Row],[Top 2 Export Value]],LEN(Table2[[#This Row],[Top 2 Export Value]])-1))*1000000,IF(RIGHT(Table2[[#This Row],[Top 2 Export Value]],1)="B",VALUE(LEFT(Table2[[#This Row],[Top 2 Export Value]],LEN(Table2[[#This Row],[Top 2 Export Value]])-1))*1000000000,IF(RIGHT(D90,1)="k",VALUE(LEFT(Table2[[#This Row],[Top 2 Export Value]],LEN(Table2[[#This Row],[Top 2 Export Value]])-1))*1000,Table2[[#This Row],[Top 2 Export Value]])))</f>
        <v>114900000</v>
      </c>
      <c r="J90" s="9" t="s">
        <v>164</v>
      </c>
      <c r="K90" s="9" t="s">
        <v>211</v>
      </c>
      <c r="L90" s="9" t="s">
        <v>487</v>
      </c>
      <c r="M9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76600000</v>
      </c>
      <c r="N90" s="9" t="s">
        <v>155</v>
      </c>
    </row>
    <row r="91" spans="1:14" x14ac:dyDescent="0.3">
      <c r="A91" s="9" t="s">
        <v>34</v>
      </c>
      <c r="B91" s="9">
        <v>2023</v>
      </c>
      <c r="C91" s="9" t="s">
        <v>212</v>
      </c>
      <c r="D91" s="9" t="s">
        <v>917</v>
      </c>
      <c r="E91" s="11">
        <f t="shared" si="2"/>
        <v>271700000</v>
      </c>
      <c r="F91" s="9" t="s">
        <v>280</v>
      </c>
      <c r="G91" s="9" t="s">
        <v>210</v>
      </c>
      <c r="H91" s="9" t="s">
        <v>918</v>
      </c>
      <c r="I91" s="11">
        <f>IF(RIGHT(Table2[[#This Row],[Top 2 Export Value]],1)="M",VALUE(LEFT(Table2[[#This Row],[Top 2 Export Value]],LEN(Table2[[#This Row],[Top 2 Export Value]])-1))*1000000,IF(RIGHT(Table2[[#This Row],[Top 2 Export Value]],1)="B",VALUE(LEFT(Table2[[#This Row],[Top 2 Export Value]],LEN(Table2[[#This Row],[Top 2 Export Value]])-1))*1000000000,IF(RIGHT(D91,1)="k",VALUE(LEFT(Table2[[#This Row],[Top 2 Export Value]],LEN(Table2[[#This Row],[Top 2 Export Value]])-1))*1000,Table2[[#This Row],[Top 2 Export Value]])))</f>
        <v>247800000</v>
      </c>
      <c r="J91" s="9" t="s">
        <v>155</v>
      </c>
      <c r="K91" s="9" t="s">
        <v>211</v>
      </c>
      <c r="L91" s="9" t="s">
        <v>919</v>
      </c>
      <c r="M9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40800000</v>
      </c>
      <c r="N91" s="9" t="s">
        <v>164</v>
      </c>
    </row>
    <row r="92" spans="1:14" x14ac:dyDescent="0.3">
      <c r="A92" s="9" t="s">
        <v>35</v>
      </c>
      <c r="B92" s="9">
        <v>2021</v>
      </c>
      <c r="C92" s="9" t="s">
        <v>240</v>
      </c>
      <c r="D92" s="9" t="s">
        <v>920</v>
      </c>
      <c r="E92" s="11">
        <f t="shared" si="2"/>
        <v>407600000</v>
      </c>
      <c r="F92" s="9" t="s">
        <v>278</v>
      </c>
      <c r="G92" s="9" t="s">
        <v>241</v>
      </c>
      <c r="H92" s="9" t="s">
        <v>921</v>
      </c>
      <c r="I92" s="11">
        <f>IF(RIGHT(Table2[[#This Row],[Top 2 Export Value]],1)="M",VALUE(LEFT(Table2[[#This Row],[Top 2 Export Value]],LEN(Table2[[#This Row],[Top 2 Export Value]])-1))*1000000,IF(RIGHT(Table2[[#This Row],[Top 2 Export Value]],1)="B",VALUE(LEFT(Table2[[#This Row],[Top 2 Export Value]],LEN(Table2[[#This Row],[Top 2 Export Value]])-1))*1000000000,IF(RIGHT(D92,1)="k",VALUE(LEFT(Table2[[#This Row],[Top 2 Export Value]],LEN(Table2[[#This Row],[Top 2 Export Value]])-1))*1000,Table2[[#This Row],[Top 2 Export Value]])))</f>
        <v>80500000</v>
      </c>
      <c r="J92" s="9" t="s">
        <v>30</v>
      </c>
      <c r="K92" s="9" t="s">
        <v>194</v>
      </c>
      <c r="L92" s="9" t="s">
        <v>715</v>
      </c>
      <c r="M9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76300000</v>
      </c>
      <c r="N92" s="9" t="s">
        <v>290</v>
      </c>
    </row>
    <row r="93" spans="1:14" x14ac:dyDescent="0.3">
      <c r="A93" s="9" t="s">
        <v>35</v>
      </c>
      <c r="B93" s="9">
        <v>2022</v>
      </c>
      <c r="C93" s="9" t="s">
        <v>240</v>
      </c>
      <c r="D93" s="9" t="s">
        <v>922</v>
      </c>
      <c r="E93" s="11">
        <f t="shared" si="2"/>
        <v>447400000</v>
      </c>
      <c r="F93" s="9" t="s">
        <v>278</v>
      </c>
      <c r="G93" s="9" t="s">
        <v>186</v>
      </c>
      <c r="H93" s="9" t="s">
        <v>923</v>
      </c>
      <c r="I93" s="11">
        <f>IF(RIGHT(Table2[[#This Row],[Top 2 Export Value]],1)="M",VALUE(LEFT(Table2[[#This Row],[Top 2 Export Value]],LEN(Table2[[#This Row],[Top 2 Export Value]])-1))*1000000,IF(RIGHT(Table2[[#This Row],[Top 2 Export Value]],1)="B",VALUE(LEFT(Table2[[#This Row],[Top 2 Export Value]],LEN(Table2[[#This Row],[Top 2 Export Value]])-1))*1000000000,IF(RIGHT(D93,1)="k",VALUE(LEFT(Table2[[#This Row],[Top 2 Export Value]],LEN(Table2[[#This Row],[Top 2 Export Value]])-1))*1000,Table2[[#This Row],[Top 2 Export Value]])))</f>
        <v>108100000</v>
      </c>
      <c r="J93" s="9" t="s">
        <v>164</v>
      </c>
      <c r="K93" s="9" t="s">
        <v>75</v>
      </c>
      <c r="L93" s="9" t="s">
        <v>506</v>
      </c>
      <c r="M9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74100000</v>
      </c>
      <c r="N93" s="9" t="s">
        <v>44</v>
      </c>
    </row>
    <row r="94" spans="1:14" x14ac:dyDescent="0.3">
      <c r="A94" s="9" t="s">
        <v>35</v>
      </c>
      <c r="B94" s="9">
        <v>2023</v>
      </c>
      <c r="C94" s="9" t="s">
        <v>240</v>
      </c>
      <c r="D94" s="9" t="s">
        <v>924</v>
      </c>
      <c r="E94" s="11">
        <f t="shared" si="2"/>
        <v>447200000</v>
      </c>
      <c r="F94" s="9" t="s">
        <v>278</v>
      </c>
      <c r="G94" s="9" t="s">
        <v>194</v>
      </c>
      <c r="H94" s="9" t="s">
        <v>925</v>
      </c>
      <c r="I94" s="11">
        <f>IF(RIGHT(Table2[[#This Row],[Top 2 Export Value]],1)="M",VALUE(LEFT(Table2[[#This Row],[Top 2 Export Value]],LEN(Table2[[#This Row],[Top 2 Export Value]])-1))*1000000,IF(RIGHT(Table2[[#This Row],[Top 2 Export Value]],1)="B",VALUE(LEFT(Table2[[#This Row],[Top 2 Export Value]],LEN(Table2[[#This Row],[Top 2 Export Value]])-1))*1000000000,IF(RIGHT(D94,1)="k",VALUE(LEFT(Table2[[#This Row],[Top 2 Export Value]],LEN(Table2[[#This Row],[Top 2 Export Value]])-1))*1000,Table2[[#This Row],[Top 2 Export Value]])))</f>
        <v>70600000</v>
      </c>
      <c r="J94" s="9" t="s">
        <v>290</v>
      </c>
      <c r="K94" s="9" t="s">
        <v>241</v>
      </c>
      <c r="L94" s="9" t="s">
        <v>926</v>
      </c>
      <c r="M9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53800000</v>
      </c>
      <c r="N94" s="9" t="s">
        <v>56</v>
      </c>
    </row>
    <row r="95" spans="1:14" x14ac:dyDescent="0.3">
      <c r="A95" s="9" t="s">
        <v>36</v>
      </c>
      <c r="B95" s="9">
        <v>2021</v>
      </c>
      <c r="C95" s="9" t="s">
        <v>190</v>
      </c>
      <c r="D95" s="9" t="s">
        <v>874</v>
      </c>
      <c r="E95" s="11">
        <f t="shared" si="2"/>
        <v>101000000</v>
      </c>
      <c r="F95" s="9" t="s">
        <v>129</v>
      </c>
      <c r="G95" s="9" t="s">
        <v>191</v>
      </c>
      <c r="H95" s="9" t="s">
        <v>347</v>
      </c>
      <c r="I95" s="11">
        <f>IF(RIGHT(Table2[[#This Row],[Top 2 Export Value]],1)="M",VALUE(LEFT(Table2[[#This Row],[Top 2 Export Value]],LEN(Table2[[#This Row],[Top 2 Export Value]])-1))*1000000,IF(RIGHT(Table2[[#This Row],[Top 2 Export Value]],1)="B",VALUE(LEFT(Table2[[#This Row],[Top 2 Export Value]],LEN(Table2[[#This Row],[Top 2 Export Value]])-1))*1000000000,IF(RIGHT(D95,1)="k",VALUE(LEFT(Table2[[#This Row],[Top 2 Export Value]],LEN(Table2[[#This Row],[Top 2 Export Value]])-1))*1000,Table2[[#This Row],[Top 2 Export Value]])))</f>
        <v>63200000</v>
      </c>
      <c r="J95" s="9" t="s">
        <v>129</v>
      </c>
      <c r="K95" s="9" t="s">
        <v>178</v>
      </c>
      <c r="L95" s="9" t="s">
        <v>927</v>
      </c>
      <c r="M9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10500000</v>
      </c>
      <c r="N95" s="9" t="s">
        <v>137</v>
      </c>
    </row>
    <row r="96" spans="1:14" x14ac:dyDescent="0.3">
      <c r="A96" s="9" t="s">
        <v>36</v>
      </c>
      <c r="B96" s="9">
        <v>2022</v>
      </c>
      <c r="C96" s="9" t="s">
        <v>190</v>
      </c>
      <c r="D96" s="9" t="s">
        <v>712</v>
      </c>
      <c r="E96" s="11">
        <f t="shared" si="2"/>
        <v>112000000</v>
      </c>
      <c r="F96" s="9" t="s">
        <v>145</v>
      </c>
      <c r="G96" s="9" t="s">
        <v>191</v>
      </c>
      <c r="H96" s="9" t="s">
        <v>928</v>
      </c>
      <c r="I96" s="11">
        <f>IF(RIGHT(Table2[[#This Row],[Top 2 Export Value]],1)="M",VALUE(LEFT(Table2[[#This Row],[Top 2 Export Value]],LEN(Table2[[#This Row],[Top 2 Export Value]])-1))*1000000,IF(RIGHT(Table2[[#This Row],[Top 2 Export Value]],1)="B",VALUE(LEFT(Table2[[#This Row],[Top 2 Export Value]],LEN(Table2[[#This Row],[Top 2 Export Value]])-1))*1000000000,IF(RIGHT(D96,1)="k",VALUE(LEFT(Table2[[#This Row],[Top 2 Export Value]],LEN(Table2[[#This Row],[Top 2 Export Value]])-1))*1000,Table2[[#This Row],[Top 2 Export Value]])))</f>
        <v>30200000</v>
      </c>
      <c r="J96" s="9" t="s">
        <v>129</v>
      </c>
      <c r="K96" s="9" t="s">
        <v>178</v>
      </c>
      <c r="L96" s="9" t="s">
        <v>394</v>
      </c>
      <c r="M9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13400000</v>
      </c>
      <c r="N96" s="9" t="s">
        <v>143</v>
      </c>
    </row>
    <row r="97" spans="1:14" x14ac:dyDescent="0.3">
      <c r="A97" s="9" t="s">
        <v>36</v>
      </c>
      <c r="B97" s="9">
        <v>2023</v>
      </c>
      <c r="C97" s="9" t="s">
        <v>190</v>
      </c>
      <c r="D97" s="9" t="s">
        <v>929</v>
      </c>
      <c r="E97" s="11">
        <f t="shared" si="2"/>
        <v>54300000</v>
      </c>
      <c r="F97" s="9" t="s">
        <v>129</v>
      </c>
      <c r="G97" s="9" t="s">
        <v>191</v>
      </c>
      <c r="H97" s="9" t="s">
        <v>682</v>
      </c>
      <c r="I97" s="11">
        <f>IF(RIGHT(Table2[[#This Row],[Top 2 Export Value]],1)="M",VALUE(LEFT(Table2[[#This Row],[Top 2 Export Value]],LEN(Table2[[#This Row],[Top 2 Export Value]])-1))*1000000,IF(RIGHT(Table2[[#This Row],[Top 2 Export Value]],1)="B",VALUE(LEFT(Table2[[#This Row],[Top 2 Export Value]],LEN(Table2[[#This Row],[Top 2 Export Value]])-1))*1000000000,IF(RIGHT(D97,1)="k",VALUE(LEFT(Table2[[#This Row],[Top 2 Export Value]],LEN(Table2[[#This Row],[Top 2 Export Value]])-1))*1000,Table2[[#This Row],[Top 2 Export Value]])))</f>
        <v>39100000</v>
      </c>
      <c r="J97" s="9" t="s">
        <v>129</v>
      </c>
      <c r="K97" s="9" t="s">
        <v>178</v>
      </c>
      <c r="L97" s="9" t="s">
        <v>930</v>
      </c>
      <c r="M9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13100000</v>
      </c>
      <c r="N97" s="9" t="s">
        <v>137</v>
      </c>
    </row>
    <row r="98" spans="1:14" x14ac:dyDescent="0.3">
      <c r="A98" s="9" t="s">
        <v>37</v>
      </c>
      <c r="B98" s="9">
        <v>2021</v>
      </c>
      <c r="C98" s="9" t="s">
        <v>190</v>
      </c>
      <c r="D98" s="9" t="s">
        <v>856</v>
      </c>
      <c r="E98" s="11">
        <f t="shared" ref="E98:E129" si="3">IF(RIGHT(D98,1)="M",VALUE(LEFT(D98,LEN(D98)-1))*1000000,IF(RIGHT(D98,1)="B",VALUE(LEFT(D98,LEN(D98)-1))*1000000000,IF(RIGHT(D98,1)="K",VALUE(LEFT(D98,LEN(D98)-1))*1000,D98)))</f>
        <v>8500000</v>
      </c>
      <c r="F98" s="9" t="s">
        <v>272</v>
      </c>
      <c r="G98" s="9" t="s">
        <v>242</v>
      </c>
      <c r="H98" s="9" t="s">
        <v>931</v>
      </c>
      <c r="I98" s="11">
        <f>IF(RIGHT(Table2[[#This Row],[Top 2 Export Value]],1)="M",VALUE(LEFT(Table2[[#This Row],[Top 2 Export Value]],LEN(Table2[[#This Row],[Top 2 Export Value]])-1))*1000000,IF(RIGHT(Table2[[#This Row],[Top 2 Export Value]],1)="B",VALUE(LEFT(Table2[[#This Row],[Top 2 Export Value]],LEN(Table2[[#This Row],[Top 2 Export Value]])-1))*1000000000,IF(RIGHT(D98,1)="k",VALUE(LEFT(Table2[[#This Row],[Top 2 Export Value]],LEN(Table2[[#This Row],[Top 2 Export Value]])-1))*1000,Table2[[#This Row],[Top 2 Export Value]])))</f>
        <v>2200000</v>
      </c>
      <c r="J98" s="9" t="s">
        <v>170</v>
      </c>
      <c r="K98" s="9" t="s">
        <v>243</v>
      </c>
      <c r="L98" s="9" t="s">
        <v>932</v>
      </c>
      <c r="M9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176000</v>
      </c>
      <c r="N98" s="9" t="s">
        <v>24</v>
      </c>
    </row>
    <row r="99" spans="1:14" x14ac:dyDescent="0.3">
      <c r="A99" s="9" t="s">
        <v>37</v>
      </c>
      <c r="B99" s="9">
        <v>2022</v>
      </c>
      <c r="C99" s="9" t="s">
        <v>244</v>
      </c>
      <c r="D99" s="9" t="s">
        <v>933</v>
      </c>
      <c r="E99" s="11">
        <f t="shared" si="3"/>
        <v>472000</v>
      </c>
      <c r="F99" s="9" t="s">
        <v>46</v>
      </c>
      <c r="G99" s="9" t="s">
        <v>242</v>
      </c>
      <c r="H99" s="9" t="s">
        <v>934</v>
      </c>
      <c r="I99" s="11">
        <f>IF(RIGHT(Table2[[#This Row],[Top 2 Export Value]],1)="M",VALUE(LEFT(Table2[[#This Row],[Top 2 Export Value]],LEN(Table2[[#This Row],[Top 2 Export Value]])-1))*1000000,IF(RIGHT(Table2[[#This Row],[Top 2 Export Value]],1)="B",VALUE(LEFT(Table2[[#This Row],[Top 2 Export Value]],LEN(Table2[[#This Row],[Top 2 Export Value]])-1))*1000000000,IF(RIGHT(D99,1)="k",VALUE(LEFT(Table2[[#This Row],[Top 2 Export Value]],LEN(Table2[[#This Row],[Top 2 Export Value]])-1))*1000,Table2[[#This Row],[Top 2 Export Value]])))</f>
        <v>242000</v>
      </c>
      <c r="J99" s="9" t="s">
        <v>170</v>
      </c>
      <c r="K99" s="9" t="s">
        <v>245</v>
      </c>
      <c r="L99" s="9" t="s">
        <v>935</v>
      </c>
      <c r="M9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173000</v>
      </c>
      <c r="N99" s="9" t="s">
        <v>290</v>
      </c>
    </row>
    <row r="100" spans="1:14" x14ac:dyDescent="0.3">
      <c r="A100" s="9" t="s">
        <v>37</v>
      </c>
      <c r="B100" s="9">
        <v>2023</v>
      </c>
      <c r="C100" s="9" t="s">
        <v>242</v>
      </c>
      <c r="D100" s="9" t="s">
        <v>936</v>
      </c>
      <c r="E100" s="11">
        <f t="shared" si="3"/>
        <v>15400000</v>
      </c>
      <c r="F100" s="9" t="s">
        <v>270</v>
      </c>
      <c r="G100" s="9" t="s">
        <v>190</v>
      </c>
      <c r="H100" s="9" t="s">
        <v>937</v>
      </c>
      <c r="I100" s="11">
        <f>IF(RIGHT(Table2[[#This Row],[Top 2 Export Value]],1)="M",VALUE(LEFT(Table2[[#This Row],[Top 2 Export Value]],LEN(Table2[[#This Row],[Top 2 Export Value]])-1))*1000000,IF(RIGHT(Table2[[#This Row],[Top 2 Export Value]],1)="B",VALUE(LEFT(Table2[[#This Row],[Top 2 Export Value]],LEN(Table2[[#This Row],[Top 2 Export Value]])-1))*1000000000,IF(RIGHT(D100,1)="k",VALUE(LEFT(Table2[[#This Row],[Top 2 Export Value]],LEN(Table2[[#This Row],[Top 2 Export Value]])-1))*1000,Table2[[#This Row],[Top 2 Export Value]])))</f>
        <v>7900000</v>
      </c>
      <c r="J100" s="9" t="s">
        <v>272</v>
      </c>
      <c r="K100" s="9" t="s">
        <v>246</v>
      </c>
      <c r="L100" s="9" t="s">
        <v>938</v>
      </c>
      <c r="M10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703000</v>
      </c>
      <c r="N100" s="9" t="s">
        <v>170</v>
      </c>
    </row>
    <row r="101" spans="1:14" x14ac:dyDescent="0.3">
      <c r="A101" s="9" t="s">
        <v>38</v>
      </c>
      <c r="B101" s="9">
        <v>2021</v>
      </c>
      <c r="C101" s="9" t="s">
        <v>195</v>
      </c>
      <c r="D101" s="9" t="s">
        <v>939</v>
      </c>
      <c r="E101" s="11">
        <f t="shared" si="3"/>
        <v>258000000</v>
      </c>
      <c r="F101" s="9" t="s">
        <v>160</v>
      </c>
      <c r="G101" s="9" t="s">
        <v>75</v>
      </c>
      <c r="H101" s="9" t="s">
        <v>939</v>
      </c>
      <c r="I101" s="11">
        <f>IF(RIGHT(Table2[[#This Row],[Top 2 Export Value]],1)="M",VALUE(LEFT(Table2[[#This Row],[Top 2 Export Value]],LEN(Table2[[#This Row],[Top 2 Export Value]])-1))*1000000,IF(RIGHT(Table2[[#This Row],[Top 2 Export Value]],1)="B",VALUE(LEFT(Table2[[#This Row],[Top 2 Export Value]],LEN(Table2[[#This Row],[Top 2 Export Value]])-1))*1000000000,IF(RIGHT(D101,1)="k",VALUE(LEFT(Table2[[#This Row],[Top 2 Export Value]],LEN(Table2[[#This Row],[Top 2 Export Value]])-1))*1000,Table2[[#This Row],[Top 2 Export Value]])))</f>
        <v>258000000</v>
      </c>
      <c r="J101" s="9" t="s">
        <v>160</v>
      </c>
      <c r="K101" s="9" t="s">
        <v>247</v>
      </c>
      <c r="L101" s="9" t="s">
        <v>940</v>
      </c>
      <c r="M10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64300000</v>
      </c>
      <c r="N101" s="9" t="s">
        <v>280</v>
      </c>
    </row>
    <row r="102" spans="1:14" x14ac:dyDescent="0.3">
      <c r="A102" s="9" t="s">
        <v>38</v>
      </c>
      <c r="B102" s="9">
        <v>2022</v>
      </c>
      <c r="C102" s="9" t="s">
        <v>195</v>
      </c>
      <c r="D102" s="9" t="s">
        <v>941</v>
      </c>
      <c r="E102" s="11">
        <f t="shared" si="3"/>
        <v>290000000</v>
      </c>
      <c r="F102" s="9" t="s">
        <v>160</v>
      </c>
      <c r="G102" s="9" t="s">
        <v>75</v>
      </c>
      <c r="H102" s="9" t="s">
        <v>709</v>
      </c>
      <c r="I102" s="11">
        <f>IF(RIGHT(Table2[[#This Row],[Top 2 Export Value]],1)="M",VALUE(LEFT(Table2[[#This Row],[Top 2 Export Value]],LEN(Table2[[#This Row],[Top 2 Export Value]])-1))*1000000,IF(RIGHT(Table2[[#This Row],[Top 2 Export Value]],1)="B",VALUE(LEFT(Table2[[#This Row],[Top 2 Export Value]],LEN(Table2[[#This Row],[Top 2 Export Value]])-1))*1000000000,IF(RIGHT(D102,1)="k",VALUE(LEFT(Table2[[#This Row],[Top 2 Export Value]],LEN(Table2[[#This Row],[Top 2 Export Value]])-1))*1000,Table2[[#This Row],[Top 2 Export Value]])))</f>
        <v>217000000</v>
      </c>
      <c r="J102" s="9" t="s">
        <v>281</v>
      </c>
      <c r="K102" s="9" t="s">
        <v>84</v>
      </c>
      <c r="L102" s="9" t="s">
        <v>942</v>
      </c>
      <c r="M10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82500000</v>
      </c>
      <c r="N102" s="9" t="s">
        <v>40</v>
      </c>
    </row>
    <row r="103" spans="1:14" x14ac:dyDescent="0.3">
      <c r="A103" s="9" t="s">
        <v>38</v>
      </c>
      <c r="B103" s="9">
        <v>2023</v>
      </c>
      <c r="C103" s="9" t="s">
        <v>195</v>
      </c>
      <c r="D103" s="9" t="s">
        <v>943</v>
      </c>
      <c r="E103" s="11">
        <f t="shared" si="3"/>
        <v>302000000</v>
      </c>
      <c r="F103" s="9" t="s">
        <v>160</v>
      </c>
      <c r="G103" s="9" t="s">
        <v>75</v>
      </c>
      <c r="H103" s="9" t="s">
        <v>665</v>
      </c>
      <c r="I103" s="11">
        <f>IF(RIGHT(Table2[[#This Row],[Top 2 Export Value]],1)="M",VALUE(LEFT(Table2[[#This Row],[Top 2 Export Value]],LEN(Table2[[#This Row],[Top 2 Export Value]])-1))*1000000,IF(RIGHT(Table2[[#This Row],[Top 2 Export Value]],1)="B",VALUE(LEFT(Table2[[#This Row],[Top 2 Export Value]],LEN(Table2[[#This Row],[Top 2 Export Value]])-1))*1000000000,IF(RIGHT(D103,1)="k",VALUE(LEFT(Table2[[#This Row],[Top 2 Export Value]],LEN(Table2[[#This Row],[Top 2 Export Value]])-1))*1000,Table2[[#This Row],[Top 2 Export Value]])))</f>
        <v>272000000</v>
      </c>
      <c r="J103" s="9" t="s">
        <v>281</v>
      </c>
      <c r="K103" s="9" t="s">
        <v>247</v>
      </c>
      <c r="L103" s="9" t="s">
        <v>414</v>
      </c>
      <c r="M10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103000000</v>
      </c>
      <c r="N103" s="9" t="s">
        <v>280</v>
      </c>
    </row>
    <row r="104" spans="1:14" x14ac:dyDescent="0.3">
      <c r="A104" s="9" t="s">
        <v>39</v>
      </c>
      <c r="B104" s="9">
        <v>2021</v>
      </c>
      <c r="C104" s="9" t="s">
        <v>248</v>
      </c>
      <c r="D104" s="9" t="s">
        <v>807</v>
      </c>
      <c r="E104" s="11">
        <f t="shared" si="3"/>
        <v>1000000000</v>
      </c>
      <c r="F104" s="9" t="s">
        <v>270</v>
      </c>
      <c r="G104" s="9" t="s">
        <v>249</v>
      </c>
      <c r="H104" s="9" t="s">
        <v>944</v>
      </c>
      <c r="I104" s="11">
        <f>IF(RIGHT(Table2[[#This Row],[Top 2 Export Value]],1)="M",VALUE(LEFT(Table2[[#This Row],[Top 2 Export Value]],LEN(Table2[[#This Row],[Top 2 Export Value]])-1))*1000000,IF(RIGHT(Table2[[#This Row],[Top 2 Export Value]],1)="B",VALUE(LEFT(Table2[[#This Row],[Top 2 Export Value]],LEN(Table2[[#This Row],[Top 2 Export Value]])-1))*1000000000,IF(RIGHT(D104,1)="k",VALUE(LEFT(Table2[[#This Row],[Top 2 Export Value]],LEN(Table2[[#This Row],[Top 2 Export Value]])-1))*1000,Table2[[#This Row],[Top 2 Export Value]])))</f>
        <v>450900000</v>
      </c>
      <c r="J104" s="9" t="s">
        <v>280</v>
      </c>
      <c r="K104" s="9" t="s">
        <v>217</v>
      </c>
      <c r="L104" s="9" t="s">
        <v>945</v>
      </c>
      <c r="M10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431600000</v>
      </c>
      <c r="N104" s="9" t="s">
        <v>291</v>
      </c>
    </row>
    <row r="105" spans="1:14" x14ac:dyDescent="0.3">
      <c r="A105" s="9" t="s">
        <v>39</v>
      </c>
      <c r="B105" s="9">
        <v>2022</v>
      </c>
      <c r="C105" s="9" t="s">
        <v>248</v>
      </c>
      <c r="D105" s="9" t="s">
        <v>946</v>
      </c>
      <c r="E105" s="11">
        <f t="shared" si="3"/>
        <v>855900000</v>
      </c>
      <c r="F105" s="9" t="s">
        <v>270</v>
      </c>
      <c r="G105" s="9" t="s">
        <v>249</v>
      </c>
      <c r="H105" s="9" t="s">
        <v>947</v>
      </c>
      <c r="I105" s="11">
        <f>IF(RIGHT(Table2[[#This Row],[Top 2 Export Value]],1)="M",VALUE(LEFT(Table2[[#This Row],[Top 2 Export Value]],LEN(Table2[[#This Row],[Top 2 Export Value]])-1))*1000000,IF(RIGHT(Table2[[#This Row],[Top 2 Export Value]],1)="B",VALUE(LEFT(Table2[[#This Row],[Top 2 Export Value]],LEN(Table2[[#This Row],[Top 2 Export Value]])-1))*1000000000,IF(RIGHT(D105,1)="k",VALUE(LEFT(Table2[[#This Row],[Top 2 Export Value]],LEN(Table2[[#This Row],[Top 2 Export Value]])-1))*1000,Table2[[#This Row],[Top 2 Export Value]])))</f>
        <v>454400000</v>
      </c>
      <c r="J105" s="9" t="s">
        <v>283</v>
      </c>
      <c r="K105" s="9" t="s">
        <v>217</v>
      </c>
      <c r="L105" s="9" t="s">
        <v>948</v>
      </c>
      <c r="M10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320700000</v>
      </c>
      <c r="N105" s="9" t="s">
        <v>27</v>
      </c>
    </row>
    <row r="106" spans="1:14" x14ac:dyDescent="0.3">
      <c r="A106" s="9" t="s">
        <v>39</v>
      </c>
      <c r="B106" s="9">
        <v>2023</v>
      </c>
      <c r="C106" s="9" t="s">
        <v>248</v>
      </c>
      <c r="D106" s="9" t="s">
        <v>868</v>
      </c>
      <c r="E106" s="11">
        <f t="shared" si="3"/>
        <v>1100000000</v>
      </c>
      <c r="F106" s="9" t="s">
        <v>270</v>
      </c>
      <c r="G106" s="9" t="s">
        <v>249</v>
      </c>
      <c r="H106" s="9" t="s">
        <v>949</v>
      </c>
      <c r="I106" s="11">
        <f>IF(RIGHT(Table2[[#This Row],[Top 2 Export Value]],1)="M",VALUE(LEFT(Table2[[#This Row],[Top 2 Export Value]],LEN(Table2[[#This Row],[Top 2 Export Value]])-1))*1000000,IF(RIGHT(Table2[[#This Row],[Top 2 Export Value]],1)="B",VALUE(LEFT(Table2[[#This Row],[Top 2 Export Value]],LEN(Table2[[#This Row],[Top 2 Export Value]])-1))*1000000000,IF(RIGHT(D106,1)="k",VALUE(LEFT(Table2[[#This Row],[Top 2 Export Value]],LEN(Table2[[#This Row],[Top 2 Export Value]])-1))*1000,Table2[[#This Row],[Top 2 Export Value]])))</f>
        <v>419000000</v>
      </c>
      <c r="J106" s="9" t="s">
        <v>122</v>
      </c>
      <c r="K106" s="9" t="s">
        <v>217</v>
      </c>
      <c r="L106" s="9" t="s">
        <v>950</v>
      </c>
      <c r="M10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403800000</v>
      </c>
      <c r="N106" s="9" t="s">
        <v>291</v>
      </c>
    </row>
    <row r="107" spans="1:14" x14ac:dyDescent="0.3">
      <c r="A107" s="9" t="s">
        <v>40</v>
      </c>
      <c r="B107" s="9">
        <v>2021</v>
      </c>
      <c r="C107" s="9" t="s">
        <v>250</v>
      </c>
      <c r="D107" s="9" t="s">
        <v>951</v>
      </c>
      <c r="E107" s="11">
        <f t="shared" si="3"/>
        <v>188600000</v>
      </c>
      <c r="F107" s="9" t="s">
        <v>164</v>
      </c>
      <c r="G107" s="9" t="s">
        <v>240</v>
      </c>
      <c r="H107" s="9" t="s">
        <v>952</v>
      </c>
      <c r="I107" s="11">
        <f>IF(RIGHT(Table2[[#This Row],[Top 2 Export Value]],1)="M",VALUE(LEFT(Table2[[#This Row],[Top 2 Export Value]],LEN(Table2[[#This Row],[Top 2 Export Value]])-1))*1000000,IF(RIGHT(Table2[[#This Row],[Top 2 Export Value]],1)="B",VALUE(LEFT(Table2[[#This Row],[Top 2 Export Value]],LEN(Table2[[#This Row],[Top 2 Export Value]])-1))*1000000000,IF(RIGHT(D107,1)="k",VALUE(LEFT(Table2[[#This Row],[Top 2 Export Value]],LEN(Table2[[#This Row],[Top 2 Export Value]])-1))*1000,Table2[[#This Row],[Top 2 Export Value]])))</f>
        <v>150500000</v>
      </c>
      <c r="J107" s="9" t="s">
        <v>278</v>
      </c>
      <c r="K107" s="9" t="s">
        <v>205</v>
      </c>
      <c r="L107" s="9" t="s">
        <v>953</v>
      </c>
      <c r="M10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94800000</v>
      </c>
      <c r="N107" s="9" t="s">
        <v>279</v>
      </c>
    </row>
    <row r="108" spans="1:14" x14ac:dyDescent="0.3">
      <c r="A108" s="9" t="s">
        <v>40</v>
      </c>
      <c r="B108" s="9">
        <v>2022</v>
      </c>
      <c r="C108" s="9" t="s">
        <v>240</v>
      </c>
      <c r="D108" s="9" t="s">
        <v>954</v>
      </c>
      <c r="E108" s="11">
        <f t="shared" si="3"/>
        <v>144800000</v>
      </c>
      <c r="F108" s="9" t="s">
        <v>278</v>
      </c>
      <c r="G108" s="9" t="s">
        <v>250</v>
      </c>
      <c r="H108" s="9" t="s">
        <v>955</v>
      </c>
      <c r="I108" s="11">
        <f>IF(RIGHT(Table2[[#This Row],[Top 2 Export Value]],1)="M",VALUE(LEFT(Table2[[#This Row],[Top 2 Export Value]],LEN(Table2[[#This Row],[Top 2 Export Value]])-1))*1000000,IF(RIGHT(Table2[[#This Row],[Top 2 Export Value]],1)="B",VALUE(LEFT(Table2[[#This Row],[Top 2 Export Value]],LEN(Table2[[#This Row],[Top 2 Export Value]])-1))*1000000000,IF(RIGHT(D108,1)="k",VALUE(LEFT(Table2[[#This Row],[Top 2 Export Value]],LEN(Table2[[#This Row],[Top 2 Export Value]])-1))*1000,Table2[[#This Row],[Top 2 Export Value]])))</f>
        <v>92900000</v>
      </c>
      <c r="J108" s="9" t="s">
        <v>164</v>
      </c>
      <c r="K108" s="9" t="s">
        <v>205</v>
      </c>
      <c r="L108" s="9" t="s">
        <v>956</v>
      </c>
      <c r="M10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84000000</v>
      </c>
      <c r="N108" s="9" t="s">
        <v>279</v>
      </c>
    </row>
    <row r="109" spans="1:14" x14ac:dyDescent="0.3">
      <c r="A109" s="9" t="s">
        <v>40</v>
      </c>
      <c r="B109" s="9">
        <v>2023</v>
      </c>
      <c r="C109" s="9" t="s">
        <v>240</v>
      </c>
      <c r="D109" s="9" t="s">
        <v>957</v>
      </c>
      <c r="E109" s="11">
        <f t="shared" si="3"/>
        <v>154100000</v>
      </c>
      <c r="F109" s="9" t="s">
        <v>278</v>
      </c>
      <c r="G109" s="9" t="s">
        <v>205</v>
      </c>
      <c r="H109" s="9" t="s">
        <v>958</v>
      </c>
      <c r="I109" s="11">
        <f>IF(RIGHT(Table2[[#This Row],[Top 2 Export Value]],1)="M",VALUE(LEFT(Table2[[#This Row],[Top 2 Export Value]],LEN(Table2[[#This Row],[Top 2 Export Value]])-1))*1000000,IF(RIGHT(Table2[[#This Row],[Top 2 Export Value]],1)="B",VALUE(LEFT(Table2[[#This Row],[Top 2 Export Value]],LEN(Table2[[#This Row],[Top 2 Export Value]])-1))*1000000000,IF(RIGHT(D109,1)="k",VALUE(LEFT(Table2[[#This Row],[Top 2 Export Value]],LEN(Table2[[#This Row],[Top 2 Export Value]])-1))*1000,Table2[[#This Row],[Top 2 Export Value]])))</f>
        <v>149700000</v>
      </c>
      <c r="J109" s="9" t="s">
        <v>279</v>
      </c>
      <c r="K109" s="9" t="s">
        <v>250</v>
      </c>
      <c r="L109" s="9" t="s">
        <v>959</v>
      </c>
      <c r="M10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135600000</v>
      </c>
      <c r="N109" s="9" t="s">
        <v>164</v>
      </c>
    </row>
    <row r="110" spans="1:14" x14ac:dyDescent="0.3">
      <c r="A110" s="9" t="s">
        <v>41</v>
      </c>
      <c r="B110" s="9">
        <v>2021</v>
      </c>
      <c r="C110" s="9" t="s">
        <v>187</v>
      </c>
      <c r="D110" s="9" t="s">
        <v>960</v>
      </c>
      <c r="E110" s="11">
        <f t="shared" si="3"/>
        <v>43900000</v>
      </c>
      <c r="F110" s="9" t="s">
        <v>50</v>
      </c>
      <c r="G110" s="9" t="s">
        <v>64</v>
      </c>
      <c r="H110" s="9" t="s">
        <v>345</v>
      </c>
      <c r="I110" s="11">
        <f>IF(RIGHT(Table2[[#This Row],[Top 2 Export Value]],1)="M",VALUE(LEFT(Table2[[#This Row],[Top 2 Export Value]],LEN(Table2[[#This Row],[Top 2 Export Value]])-1))*1000000,IF(RIGHT(Table2[[#This Row],[Top 2 Export Value]],1)="B",VALUE(LEFT(Table2[[#This Row],[Top 2 Export Value]],LEN(Table2[[#This Row],[Top 2 Export Value]])-1))*1000000000,IF(RIGHT(D110,1)="k",VALUE(LEFT(Table2[[#This Row],[Top 2 Export Value]],LEN(Table2[[#This Row],[Top 2 Export Value]])-1))*1000,Table2[[#This Row],[Top 2 Export Value]])))</f>
        <v>40100000</v>
      </c>
      <c r="J110" s="9" t="s">
        <v>18</v>
      </c>
      <c r="K110" s="9" t="s">
        <v>188</v>
      </c>
      <c r="L110" s="9" t="s">
        <v>961</v>
      </c>
      <c r="M11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39500000</v>
      </c>
      <c r="N110" s="9" t="s">
        <v>137</v>
      </c>
    </row>
    <row r="111" spans="1:14" x14ac:dyDescent="0.3">
      <c r="A111" s="9" t="s">
        <v>41</v>
      </c>
      <c r="B111" s="9">
        <v>2022</v>
      </c>
      <c r="C111" s="9" t="s">
        <v>187</v>
      </c>
      <c r="D111" s="9" t="s">
        <v>962</v>
      </c>
      <c r="E111" s="11">
        <f t="shared" si="3"/>
        <v>47300000</v>
      </c>
      <c r="F111" s="9" t="s">
        <v>50</v>
      </c>
      <c r="G111" s="9" t="s">
        <v>251</v>
      </c>
      <c r="H111" s="9" t="s">
        <v>963</v>
      </c>
      <c r="I111" s="11">
        <f>IF(RIGHT(Table2[[#This Row],[Top 2 Export Value]],1)="M",VALUE(LEFT(Table2[[#This Row],[Top 2 Export Value]],LEN(Table2[[#This Row],[Top 2 Export Value]])-1))*1000000,IF(RIGHT(Table2[[#This Row],[Top 2 Export Value]],1)="B",VALUE(LEFT(Table2[[#This Row],[Top 2 Export Value]],LEN(Table2[[#This Row],[Top 2 Export Value]])-1))*1000000000,IF(RIGHT(D111,1)="k",VALUE(LEFT(Table2[[#This Row],[Top 2 Export Value]],LEN(Table2[[#This Row],[Top 2 Export Value]])-1))*1000,Table2[[#This Row],[Top 2 Export Value]])))</f>
        <v>31000000</v>
      </c>
      <c r="J111" s="9" t="s">
        <v>290</v>
      </c>
      <c r="K111" s="9" t="s">
        <v>64</v>
      </c>
      <c r="L111" s="9" t="s">
        <v>964</v>
      </c>
      <c r="M11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28700000</v>
      </c>
      <c r="N111" s="9" t="s">
        <v>18</v>
      </c>
    </row>
    <row r="112" spans="1:14" x14ac:dyDescent="0.3">
      <c r="A112" s="9" t="s">
        <v>41</v>
      </c>
      <c r="B112" s="9">
        <v>2023</v>
      </c>
      <c r="C112" s="9" t="s">
        <v>188</v>
      </c>
      <c r="D112" s="9" t="s">
        <v>965</v>
      </c>
      <c r="E112" s="11">
        <f t="shared" si="3"/>
        <v>52700000</v>
      </c>
      <c r="F112" s="9" t="s">
        <v>137</v>
      </c>
      <c r="G112" s="9" t="s">
        <v>251</v>
      </c>
      <c r="H112" s="9" t="s">
        <v>919</v>
      </c>
      <c r="I112" s="11">
        <f>IF(RIGHT(Table2[[#This Row],[Top 2 Export Value]],1)="M",VALUE(LEFT(Table2[[#This Row],[Top 2 Export Value]],LEN(Table2[[#This Row],[Top 2 Export Value]])-1))*1000000,IF(RIGHT(Table2[[#This Row],[Top 2 Export Value]],1)="B",VALUE(LEFT(Table2[[#This Row],[Top 2 Export Value]],LEN(Table2[[#This Row],[Top 2 Export Value]])-1))*1000000000,IF(RIGHT(D112,1)="k",VALUE(LEFT(Table2[[#This Row],[Top 2 Export Value]],LEN(Table2[[#This Row],[Top 2 Export Value]])-1))*1000,Table2[[#This Row],[Top 2 Export Value]])))</f>
        <v>40800000</v>
      </c>
      <c r="J112" s="9" t="s">
        <v>290</v>
      </c>
      <c r="K112" s="9" t="s">
        <v>187</v>
      </c>
      <c r="L112" s="9" t="s">
        <v>845</v>
      </c>
      <c r="M11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38700000</v>
      </c>
      <c r="N112" s="9" t="s">
        <v>50</v>
      </c>
    </row>
    <row r="113" spans="1:14" x14ac:dyDescent="0.3">
      <c r="A113" s="9" t="s">
        <v>42</v>
      </c>
      <c r="B113" s="9">
        <v>2021</v>
      </c>
      <c r="C113" s="9" t="s">
        <v>252</v>
      </c>
      <c r="D113" s="9" t="s">
        <v>395</v>
      </c>
      <c r="E113" s="11">
        <f t="shared" si="3"/>
        <v>12700000</v>
      </c>
      <c r="F113" s="9" t="s">
        <v>27</v>
      </c>
      <c r="G113" s="9" t="s">
        <v>84</v>
      </c>
      <c r="H113" s="9" t="s">
        <v>966</v>
      </c>
      <c r="I113" s="11">
        <f>IF(RIGHT(Table2[[#This Row],[Top 2 Export Value]],1)="M",VALUE(LEFT(Table2[[#This Row],[Top 2 Export Value]],LEN(Table2[[#This Row],[Top 2 Export Value]])-1))*1000000,IF(RIGHT(Table2[[#This Row],[Top 2 Export Value]],1)="B",VALUE(LEFT(Table2[[#This Row],[Top 2 Export Value]],LEN(Table2[[#This Row],[Top 2 Export Value]])-1))*1000000000,IF(RIGHT(D113,1)="k",VALUE(LEFT(Table2[[#This Row],[Top 2 Export Value]],LEN(Table2[[#This Row],[Top 2 Export Value]])-1))*1000,Table2[[#This Row],[Top 2 Export Value]])))</f>
        <v>9600000</v>
      </c>
      <c r="J113" s="9" t="s">
        <v>14</v>
      </c>
      <c r="K113" s="9" t="s">
        <v>253</v>
      </c>
      <c r="L113" s="9" t="s">
        <v>518</v>
      </c>
      <c r="M11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5400000</v>
      </c>
      <c r="N113" s="9" t="s">
        <v>43</v>
      </c>
    </row>
    <row r="114" spans="1:14" x14ac:dyDescent="0.3">
      <c r="A114" s="9" t="s">
        <v>42</v>
      </c>
      <c r="B114" s="9">
        <v>2022</v>
      </c>
      <c r="C114" s="9" t="s">
        <v>252</v>
      </c>
      <c r="D114" s="9" t="s">
        <v>860</v>
      </c>
      <c r="E114" s="11">
        <f t="shared" si="3"/>
        <v>23500000</v>
      </c>
      <c r="F114" s="9" t="s">
        <v>27</v>
      </c>
      <c r="G114" s="9" t="s">
        <v>84</v>
      </c>
      <c r="H114" s="9" t="s">
        <v>966</v>
      </c>
      <c r="I114" s="11">
        <f>IF(RIGHT(Table2[[#This Row],[Top 2 Export Value]],1)="M",VALUE(LEFT(Table2[[#This Row],[Top 2 Export Value]],LEN(Table2[[#This Row],[Top 2 Export Value]])-1))*1000000,IF(RIGHT(Table2[[#This Row],[Top 2 Export Value]],1)="B",VALUE(LEFT(Table2[[#This Row],[Top 2 Export Value]],LEN(Table2[[#This Row],[Top 2 Export Value]])-1))*1000000000,IF(RIGHT(D114,1)="k",VALUE(LEFT(Table2[[#This Row],[Top 2 Export Value]],LEN(Table2[[#This Row],[Top 2 Export Value]])-1))*1000,Table2[[#This Row],[Top 2 Export Value]])))</f>
        <v>9600000</v>
      </c>
      <c r="J114" s="9" t="s">
        <v>43</v>
      </c>
      <c r="K114" s="9" t="s">
        <v>187</v>
      </c>
      <c r="L114" s="9" t="s">
        <v>400</v>
      </c>
      <c r="M11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8300000.0000000009</v>
      </c>
      <c r="N114" s="9" t="s">
        <v>43</v>
      </c>
    </row>
    <row r="115" spans="1:14" x14ac:dyDescent="0.3">
      <c r="A115" s="9" t="s">
        <v>42</v>
      </c>
      <c r="B115" s="9">
        <v>2023</v>
      </c>
      <c r="C115" s="9" t="s">
        <v>252</v>
      </c>
      <c r="D115" s="9" t="s">
        <v>967</v>
      </c>
      <c r="E115" s="11">
        <f t="shared" si="3"/>
        <v>11500000</v>
      </c>
      <c r="F115" s="9" t="s">
        <v>27</v>
      </c>
      <c r="G115" s="9" t="s">
        <v>254</v>
      </c>
      <c r="H115" s="9" t="s">
        <v>638</v>
      </c>
      <c r="I115" s="11">
        <f>IF(RIGHT(Table2[[#This Row],[Top 2 Export Value]],1)="M",VALUE(LEFT(Table2[[#This Row],[Top 2 Export Value]],LEN(Table2[[#This Row],[Top 2 Export Value]])-1))*1000000,IF(RIGHT(Table2[[#This Row],[Top 2 Export Value]],1)="B",VALUE(LEFT(Table2[[#This Row],[Top 2 Export Value]],LEN(Table2[[#This Row],[Top 2 Export Value]])-1))*1000000000,IF(RIGHT(D115,1)="k",VALUE(LEFT(Table2[[#This Row],[Top 2 Export Value]],LEN(Table2[[#This Row],[Top 2 Export Value]])-1))*1000,Table2[[#This Row],[Top 2 Export Value]])))</f>
        <v>3900000</v>
      </c>
      <c r="J115" s="9" t="s">
        <v>27</v>
      </c>
      <c r="K115" s="9" t="s">
        <v>187</v>
      </c>
      <c r="L115" s="9" t="s">
        <v>968</v>
      </c>
      <c r="M11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3400000</v>
      </c>
      <c r="N115" s="9" t="s">
        <v>43</v>
      </c>
    </row>
    <row r="116" spans="1:14" x14ac:dyDescent="0.3">
      <c r="A116" s="9" t="s">
        <v>43</v>
      </c>
      <c r="B116" s="9">
        <v>2021</v>
      </c>
      <c r="C116" s="9" t="s">
        <v>199</v>
      </c>
      <c r="D116" s="9" t="s">
        <v>969</v>
      </c>
      <c r="E116" s="11">
        <f t="shared" si="3"/>
        <v>787000000</v>
      </c>
      <c r="F116" s="9" t="s">
        <v>137</v>
      </c>
      <c r="G116" s="9" t="s">
        <v>192</v>
      </c>
      <c r="H116" s="9" t="s">
        <v>970</v>
      </c>
      <c r="I116" s="11">
        <f>IF(RIGHT(Table2[[#This Row],[Top 2 Export Value]],1)="M",VALUE(LEFT(Table2[[#This Row],[Top 2 Export Value]],LEN(Table2[[#This Row],[Top 2 Export Value]])-1))*1000000,IF(RIGHT(Table2[[#This Row],[Top 2 Export Value]],1)="B",VALUE(LEFT(Table2[[#This Row],[Top 2 Export Value]],LEN(Table2[[#This Row],[Top 2 Export Value]])-1))*1000000000,IF(RIGHT(D116,1)="k",VALUE(LEFT(Table2[[#This Row],[Top 2 Export Value]],LEN(Table2[[#This Row],[Top 2 Export Value]])-1))*1000,Table2[[#This Row],[Top 2 Export Value]])))</f>
        <v>409000000</v>
      </c>
      <c r="J116" s="9" t="s">
        <v>282</v>
      </c>
      <c r="K116" s="9" t="s">
        <v>191</v>
      </c>
      <c r="L116" s="9" t="s">
        <v>971</v>
      </c>
      <c r="M11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234000000</v>
      </c>
      <c r="N116" s="9" t="s">
        <v>275</v>
      </c>
    </row>
    <row r="117" spans="1:14" x14ac:dyDescent="0.3">
      <c r="A117" s="9" t="s">
        <v>43</v>
      </c>
      <c r="B117" s="9">
        <v>2022</v>
      </c>
      <c r="C117" s="9" t="s">
        <v>199</v>
      </c>
      <c r="D117" s="9" t="s">
        <v>972</v>
      </c>
      <c r="E117" s="11">
        <f t="shared" si="3"/>
        <v>488000000</v>
      </c>
      <c r="F117" s="9" t="s">
        <v>137</v>
      </c>
      <c r="G117" s="9" t="s">
        <v>192</v>
      </c>
      <c r="H117" s="9" t="s">
        <v>690</v>
      </c>
      <c r="I117" s="11">
        <f>IF(RIGHT(Table2[[#This Row],[Top 2 Export Value]],1)="M",VALUE(LEFT(Table2[[#This Row],[Top 2 Export Value]],LEN(Table2[[#This Row],[Top 2 Export Value]])-1))*1000000,IF(RIGHT(Table2[[#This Row],[Top 2 Export Value]],1)="B",VALUE(LEFT(Table2[[#This Row],[Top 2 Export Value]],LEN(Table2[[#This Row],[Top 2 Export Value]])-1))*1000000000,IF(RIGHT(D117,1)="k",VALUE(LEFT(Table2[[#This Row],[Top 2 Export Value]],LEN(Table2[[#This Row],[Top 2 Export Value]])-1))*1000,Table2[[#This Row],[Top 2 Export Value]])))</f>
        <v>333000000</v>
      </c>
      <c r="J117" s="9" t="s">
        <v>282</v>
      </c>
      <c r="K117" s="9" t="s">
        <v>191</v>
      </c>
      <c r="L117" s="9" t="s">
        <v>699</v>
      </c>
      <c r="M11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289000000</v>
      </c>
      <c r="N117" s="9" t="s">
        <v>275</v>
      </c>
    </row>
    <row r="118" spans="1:14" x14ac:dyDescent="0.3">
      <c r="A118" s="9" t="s">
        <v>43</v>
      </c>
      <c r="B118" s="9">
        <v>2023</v>
      </c>
      <c r="C118" s="9" t="s">
        <v>199</v>
      </c>
      <c r="D118" s="9" t="s">
        <v>973</v>
      </c>
      <c r="E118" s="11">
        <f t="shared" si="3"/>
        <v>763000000</v>
      </c>
      <c r="F118" s="9" t="s">
        <v>137</v>
      </c>
      <c r="G118" s="9" t="s">
        <v>192</v>
      </c>
      <c r="H118" s="9" t="s">
        <v>974</v>
      </c>
      <c r="I118" s="11">
        <f>IF(RIGHT(Table2[[#This Row],[Top 2 Export Value]],1)="M",VALUE(LEFT(Table2[[#This Row],[Top 2 Export Value]],LEN(Table2[[#This Row],[Top 2 Export Value]])-1))*1000000,IF(RIGHT(Table2[[#This Row],[Top 2 Export Value]],1)="B",VALUE(LEFT(Table2[[#This Row],[Top 2 Export Value]],LEN(Table2[[#This Row],[Top 2 Export Value]])-1))*1000000000,IF(RIGHT(D118,1)="k",VALUE(LEFT(Table2[[#This Row],[Top 2 Export Value]],LEN(Table2[[#This Row],[Top 2 Export Value]])-1))*1000,Table2[[#This Row],[Top 2 Export Value]])))</f>
        <v>363000000</v>
      </c>
      <c r="J118" s="9" t="s">
        <v>282</v>
      </c>
      <c r="K118" s="9" t="s">
        <v>191</v>
      </c>
      <c r="L118" s="9" t="s">
        <v>432</v>
      </c>
      <c r="M11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271000000</v>
      </c>
      <c r="N118" s="9" t="s">
        <v>275</v>
      </c>
    </row>
    <row r="119" spans="1:14" x14ac:dyDescent="0.3">
      <c r="A119" s="9" t="s">
        <v>44</v>
      </c>
      <c r="B119" s="9">
        <v>2021</v>
      </c>
      <c r="C119" s="9" t="s">
        <v>194</v>
      </c>
      <c r="D119" s="9" t="s">
        <v>975</v>
      </c>
      <c r="E119" s="11">
        <f t="shared" si="3"/>
        <v>101300000</v>
      </c>
      <c r="F119" s="9" t="s">
        <v>276</v>
      </c>
      <c r="G119" s="9" t="s">
        <v>193</v>
      </c>
      <c r="H119" s="9" t="s">
        <v>976</v>
      </c>
      <c r="I119" s="11">
        <f>IF(RIGHT(Table2[[#This Row],[Top 2 Export Value]],1)="M",VALUE(LEFT(Table2[[#This Row],[Top 2 Export Value]],LEN(Table2[[#This Row],[Top 2 Export Value]])-1))*1000000,IF(RIGHT(Table2[[#This Row],[Top 2 Export Value]],1)="B",VALUE(LEFT(Table2[[#This Row],[Top 2 Export Value]],LEN(Table2[[#This Row],[Top 2 Export Value]])-1))*1000000000,IF(RIGHT(D119,1)="k",VALUE(LEFT(Table2[[#This Row],[Top 2 Export Value]],LEN(Table2[[#This Row],[Top 2 Export Value]])-1))*1000,Table2[[#This Row],[Top 2 Export Value]])))</f>
        <v>92600000</v>
      </c>
      <c r="J119" s="9" t="s">
        <v>290</v>
      </c>
      <c r="K119" s="9" t="s">
        <v>255</v>
      </c>
      <c r="L119" s="9" t="s">
        <v>977</v>
      </c>
      <c r="M11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62900000</v>
      </c>
      <c r="N119" s="9" t="s">
        <v>18</v>
      </c>
    </row>
    <row r="120" spans="1:14" x14ac:dyDescent="0.3">
      <c r="A120" s="9" t="s">
        <v>44</v>
      </c>
      <c r="B120" s="9">
        <v>2022</v>
      </c>
      <c r="C120" s="9" t="s">
        <v>194</v>
      </c>
      <c r="D120" s="9" t="s">
        <v>978</v>
      </c>
      <c r="E120" s="11">
        <f t="shared" si="3"/>
        <v>104200000</v>
      </c>
      <c r="F120" s="9" t="s">
        <v>276</v>
      </c>
      <c r="G120" s="9" t="s">
        <v>193</v>
      </c>
      <c r="H120" s="9" t="s">
        <v>979</v>
      </c>
      <c r="I120" s="11">
        <f>IF(RIGHT(Table2[[#This Row],[Top 2 Export Value]],1)="M",VALUE(LEFT(Table2[[#This Row],[Top 2 Export Value]],LEN(Table2[[#This Row],[Top 2 Export Value]])-1))*1000000,IF(RIGHT(Table2[[#This Row],[Top 2 Export Value]],1)="B",VALUE(LEFT(Table2[[#This Row],[Top 2 Export Value]],LEN(Table2[[#This Row],[Top 2 Export Value]])-1))*1000000000,IF(RIGHT(D120,1)="k",VALUE(LEFT(Table2[[#This Row],[Top 2 Export Value]],LEN(Table2[[#This Row],[Top 2 Export Value]])-1))*1000,Table2[[#This Row],[Top 2 Export Value]])))</f>
        <v>80600000</v>
      </c>
      <c r="J120" s="9" t="s">
        <v>273</v>
      </c>
      <c r="K120" s="9" t="s">
        <v>84</v>
      </c>
      <c r="L120" s="9" t="s">
        <v>980</v>
      </c>
      <c r="M12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49000000</v>
      </c>
      <c r="N120" s="9" t="s">
        <v>18</v>
      </c>
    </row>
    <row r="121" spans="1:14" x14ac:dyDescent="0.3">
      <c r="A121" s="9" t="s">
        <v>44</v>
      </c>
      <c r="B121" s="9">
        <v>2023</v>
      </c>
      <c r="C121" s="9" t="s">
        <v>193</v>
      </c>
      <c r="D121" s="9" t="s">
        <v>981</v>
      </c>
      <c r="E121" s="11">
        <f t="shared" si="3"/>
        <v>89300000</v>
      </c>
      <c r="F121" s="9" t="s">
        <v>160</v>
      </c>
      <c r="G121" s="9" t="s">
        <v>194</v>
      </c>
      <c r="H121" s="9" t="s">
        <v>981</v>
      </c>
      <c r="I121" s="11">
        <f>IF(RIGHT(Table2[[#This Row],[Top 2 Export Value]],1)="M",VALUE(LEFT(Table2[[#This Row],[Top 2 Export Value]],LEN(Table2[[#This Row],[Top 2 Export Value]])-1))*1000000,IF(RIGHT(Table2[[#This Row],[Top 2 Export Value]],1)="B",VALUE(LEFT(Table2[[#This Row],[Top 2 Export Value]],LEN(Table2[[#This Row],[Top 2 Export Value]])-1))*1000000000,IF(RIGHT(D121,1)="k",VALUE(LEFT(Table2[[#This Row],[Top 2 Export Value]],LEN(Table2[[#This Row],[Top 2 Export Value]])-1))*1000,Table2[[#This Row],[Top 2 Export Value]])))</f>
        <v>89300000</v>
      </c>
      <c r="J121" s="9" t="s">
        <v>276</v>
      </c>
      <c r="K121" s="9" t="s">
        <v>99</v>
      </c>
      <c r="L121" s="9" t="s">
        <v>982</v>
      </c>
      <c r="M12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28600000</v>
      </c>
      <c r="N121" s="9" t="s">
        <v>30</v>
      </c>
    </row>
    <row r="122" spans="1:14" x14ac:dyDescent="0.3">
      <c r="A122" s="9" t="s">
        <v>45</v>
      </c>
      <c r="B122" s="9">
        <v>2021</v>
      </c>
      <c r="C122" s="9" t="s">
        <v>84</v>
      </c>
      <c r="D122" s="9" t="s">
        <v>736</v>
      </c>
      <c r="E122" s="11">
        <f t="shared" si="3"/>
        <v>8199999.9999999991</v>
      </c>
      <c r="F122" s="9" t="s">
        <v>137</v>
      </c>
      <c r="G122" s="9" t="s">
        <v>199</v>
      </c>
      <c r="H122" s="9" t="s">
        <v>983</v>
      </c>
      <c r="I122" s="11">
        <f>IF(RIGHT(Table2[[#This Row],[Top 2 Export Value]],1)="M",VALUE(LEFT(Table2[[#This Row],[Top 2 Export Value]],LEN(Table2[[#This Row],[Top 2 Export Value]])-1))*1000000,IF(RIGHT(Table2[[#This Row],[Top 2 Export Value]],1)="B",VALUE(LEFT(Table2[[#This Row],[Top 2 Export Value]],LEN(Table2[[#This Row],[Top 2 Export Value]])-1))*1000000000,IF(RIGHT(D122,1)="k",VALUE(LEFT(Table2[[#This Row],[Top 2 Export Value]],LEN(Table2[[#This Row],[Top 2 Export Value]])-1))*1000,Table2[[#This Row],[Top 2 Export Value]])))</f>
        <v>8100000</v>
      </c>
      <c r="J122" s="9" t="s">
        <v>137</v>
      </c>
      <c r="K122" s="9" t="s">
        <v>238</v>
      </c>
      <c r="L122" s="9" t="s">
        <v>984</v>
      </c>
      <c r="M12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324000</v>
      </c>
      <c r="N122" s="9" t="s">
        <v>278</v>
      </c>
    </row>
    <row r="123" spans="1:14" x14ac:dyDescent="0.3">
      <c r="A123" s="9" t="s">
        <v>45</v>
      </c>
      <c r="B123" s="9">
        <v>2022</v>
      </c>
      <c r="C123" s="9" t="s">
        <v>199</v>
      </c>
      <c r="D123" s="9" t="s">
        <v>985</v>
      </c>
      <c r="E123" s="11">
        <f t="shared" si="3"/>
        <v>11400000</v>
      </c>
      <c r="F123" s="9" t="s">
        <v>137</v>
      </c>
      <c r="G123" s="9" t="s">
        <v>84</v>
      </c>
      <c r="H123" s="9" t="s">
        <v>986</v>
      </c>
      <c r="I123" s="11">
        <f>IF(RIGHT(Table2[[#This Row],[Top 2 Export Value]],1)="M",VALUE(LEFT(Table2[[#This Row],[Top 2 Export Value]],LEN(Table2[[#This Row],[Top 2 Export Value]])-1))*1000000,IF(RIGHT(Table2[[#This Row],[Top 2 Export Value]],1)="B",VALUE(LEFT(Table2[[#This Row],[Top 2 Export Value]],LEN(Table2[[#This Row],[Top 2 Export Value]])-1))*1000000000,IF(RIGHT(D123,1)="k",VALUE(LEFT(Table2[[#This Row],[Top 2 Export Value]],LEN(Table2[[#This Row],[Top 2 Export Value]])-1))*1000,Table2[[#This Row],[Top 2 Export Value]])))</f>
        <v>5800000</v>
      </c>
      <c r="J123" s="9" t="s">
        <v>137</v>
      </c>
      <c r="K123" s="9" t="s">
        <v>238</v>
      </c>
      <c r="L123" s="9" t="s">
        <v>987</v>
      </c>
      <c r="M12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533000</v>
      </c>
      <c r="N123" s="9" t="s">
        <v>278</v>
      </c>
    </row>
    <row r="124" spans="1:14" x14ac:dyDescent="0.3">
      <c r="A124" s="9" t="s">
        <v>45</v>
      </c>
      <c r="B124" s="9">
        <v>2023</v>
      </c>
      <c r="C124" s="9" t="s">
        <v>199</v>
      </c>
      <c r="D124" s="9" t="s">
        <v>988</v>
      </c>
      <c r="E124" s="11">
        <f t="shared" si="3"/>
        <v>10100000</v>
      </c>
      <c r="F124" s="9" t="s">
        <v>137</v>
      </c>
      <c r="G124" s="9" t="s">
        <v>84</v>
      </c>
      <c r="H124" s="9" t="s">
        <v>989</v>
      </c>
      <c r="I124" s="11">
        <f>IF(RIGHT(Table2[[#This Row],[Top 2 Export Value]],1)="M",VALUE(LEFT(Table2[[#This Row],[Top 2 Export Value]],LEN(Table2[[#This Row],[Top 2 Export Value]])-1))*1000000,IF(RIGHT(Table2[[#This Row],[Top 2 Export Value]],1)="B",VALUE(LEFT(Table2[[#This Row],[Top 2 Export Value]],LEN(Table2[[#This Row],[Top 2 Export Value]])-1))*1000000000,IF(RIGHT(D124,1)="k",VALUE(LEFT(Table2[[#This Row],[Top 2 Export Value]],LEN(Table2[[#This Row],[Top 2 Export Value]])-1))*1000,Table2[[#This Row],[Top 2 Export Value]])))</f>
        <v>5500000</v>
      </c>
      <c r="J124" s="9" t="s">
        <v>137</v>
      </c>
      <c r="K124" s="9" t="s">
        <v>256</v>
      </c>
      <c r="L124" s="9" t="s">
        <v>990</v>
      </c>
      <c r="M12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255000</v>
      </c>
      <c r="N124" s="9" t="s">
        <v>270</v>
      </c>
    </row>
    <row r="125" spans="1:14" x14ac:dyDescent="0.3">
      <c r="A125" s="9" t="s">
        <v>46</v>
      </c>
      <c r="B125" s="9">
        <v>2021</v>
      </c>
      <c r="C125" s="9" t="s">
        <v>241</v>
      </c>
      <c r="D125" s="9" t="s">
        <v>596</v>
      </c>
      <c r="E125" s="11">
        <f t="shared" si="3"/>
        <v>338000000</v>
      </c>
      <c r="F125" s="9" t="s">
        <v>129</v>
      </c>
      <c r="G125" s="9" t="s">
        <v>78</v>
      </c>
      <c r="H125" s="9" t="s">
        <v>611</v>
      </c>
      <c r="I125" s="11">
        <f>IF(RIGHT(Table2[[#This Row],[Top 2 Export Value]],1)="M",VALUE(LEFT(Table2[[#This Row],[Top 2 Export Value]],LEN(Table2[[#This Row],[Top 2 Export Value]])-1))*1000000,IF(RIGHT(Table2[[#This Row],[Top 2 Export Value]],1)="B",VALUE(LEFT(Table2[[#This Row],[Top 2 Export Value]],LEN(Table2[[#This Row],[Top 2 Export Value]])-1))*1000000000,IF(RIGHT(D125,1)="k",VALUE(LEFT(Table2[[#This Row],[Top 2 Export Value]],LEN(Table2[[#This Row],[Top 2 Export Value]])-1))*1000,Table2[[#This Row],[Top 2 Export Value]])))</f>
        <v>312000000</v>
      </c>
      <c r="J125" s="9" t="s">
        <v>168</v>
      </c>
      <c r="K125" s="9" t="s">
        <v>101</v>
      </c>
      <c r="L125" s="9" t="s">
        <v>991</v>
      </c>
      <c r="M12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150000000</v>
      </c>
      <c r="N125" s="9" t="s">
        <v>36</v>
      </c>
    </row>
    <row r="126" spans="1:14" x14ac:dyDescent="0.3">
      <c r="A126" s="9" t="s">
        <v>46</v>
      </c>
      <c r="B126" s="9">
        <v>2022</v>
      </c>
      <c r="C126" s="9" t="s">
        <v>78</v>
      </c>
      <c r="D126" s="9" t="s">
        <v>708</v>
      </c>
      <c r="E126" s="11">
        <f t="shared" si="3"/>
        <v>287000000</v>
      </c>
      <c r="F126" s="9" t="s">
        <v>168</v>
      </c>
      <c r="G126" s="9" t="s">
        <v>101</v>
      </c>
      <c r="H126" s="9" t="s">
        <v>992</v>
      </c>
      <c r="I126" s="11">
        <f>IF(RIGHT(Table2[[#This Row],[Top 2 Export Value]],1)="M",VALUE(LEFT(Table2[[#This Row],[Top 2 Export Value]],LEN(Table2[[#This Row],[Top 2 Export Value]])-1))*1000000,IF(RIGHT(Table2[[#This Row],[Top 2 Export Value]],1)="B",VALUE(LEFT(Table2[[#This Row],[Top 2 Export Value]],LEN(Table2[[#This Row],[Top 2 Export Value]])-1))*1000000000,IF(RIGHT(D126,1)="k",VALUE(LEFT(Table2[[#This Row],[Top 2 Export Value]],LEN(Table2[[#This Row],[Top 2 Export Value]])-1))*1000,Table2[[#This Row],[Top 2 Export Value]])))</f>
        <v>162000000</v>
      </c>
      <c r="J126" s="9" t="s">
        <v>36</v>
      </c>
      <c r="K126" s="9" t="s">
        <v>241</v>
      </c>
      <c r="L126" s="9" t="s">
        <v>768</v>
      </c>
      <c r="M12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159000000</v>
      </c>
      <c r="N126" s="9" t="s">
        <v>129</v>
      </c>
    </row>
    <row r="127" spans="1:14" x14ac:dyDescent="0.3">
      <c r="A127" s="9" t="s">
        <v>46</v>
      </c>
      <c r="B127" s="9">
        <v>2023</v>
      </c>
      <c r="C127" s="9" t="s">
        <v>78</v>
      </c>
      <c r="D127" s="9" t="s">
        <v>993</v>
      </c>
      <c r="E127" s="11">
        <f t="shared" si="3"/>
        <v>284000000</v>
      </c>
      <c r="F127" s="9" t="s">
        <v>168</v>
      </c>
      <c r="G127" s="9" t="s">
        <v>241</v>
      </c>
      <c r="H127" s="9" t="s">
        <v>648</v>
      </c>
      <c r="I127" s="11">
        <f>IF(RIGHT(Table2[[#This Row],[Top 2 Export Value]],1)="M",VALUE(LEFT(Table2[[#This Row],[Top 2 Export Value]],LEN(Table2[[#This Row],[Top 2 Export Value]])-1))*1000000,IF(RIGHT(Table2[[#This Row],[Top 2 Export Value]],1)="B",VALUE(LEFT(Table2[[#This Row],[Top 2 Export Value]],LEN(Table2[[#This Row],[Top 2 Export Value]])-1))*1000000000,IF(RIGHT(D127,1)="k",VALUE(LEFT(Table2[[#This Row],[Top 2 Export Value]],LEN(Table2[[#This Row],[Top 2 Export Value]])-1))*1000,Table2[[#This Row],[Top 2 Export Value]])))</f>
        <v>165000000</v>
      </c>
      <c r="J127" s="9" t="s">
        <v>129</v>
      </c>
      <c r="K127" s="9" t="s">
        <v>227</v>
      </c>
      <c r="L127" s="9" t="s">
        <v>352</v>
      </c>
      <c r="M12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151000000</v>
      </c>
      <c r="N127" s="9" t="s">
        <v>164</v>
      </c>
    </row>
    <row r="128" spans="1:14" x14ac:dyDescent="0.3">
      <c r="A128" s="9" t="s">
        <v>47</v>
      </c>
      <c r="B128" s="9">
        <v>2021</v>
      </c>
      <c r="C128" s="9" t="s">
        <v>78</v>
      </c>
      <c r="D128" s="9" t="s">
        <v>994</v>
      </c>
      <c r="E128" s="11">
        <f t="shared" si="3"/>
        <v>297000000</v>
      </c>
      <c r="F128" s="9" t="s">
        <v>275</v>
      </c>
      <c r="G128" s="9" t="s">
        <v>195</v>
      </c>
      <c r="H128" s="9" t="s">
        <v>665</v>
      </c>
      <c r="I128" s="11">
        <f>IF(RIGHT(Table2[[#This Row],[Top 2 Export Value]],1)="M",VALUE(LEFT(Table2[[#This Row],[Top 2 Export Value]],LEN(Table2[[#This Row],[Top 2 Export Value]])-1))*1000000,IF(RIGHT(Table2[[#This Row],[Top 2 Export Value]],1)="B",VALUE(LEFT(Table2[[#This Row],[Top 2 Export Value]],LEN(Table2[[#This Row],[Top 2 Export Value]])-1))*1000000000,IF(RIGHT(D128,1)="k",VALUE(LEFT(Table2[[#This Row],[Top 2 Export Value]],LEN(Table2[[#This Row],[Top 2 Export Value]])-1))*1000,Table2[[#This Row],[Top 2 Export Value]])))</f>
        <v>272000000</v>
      </c>
      <c r="J128" s="9" t="s">
        <v>270</v>
      </c>
      <c r="K128" s="9" t="s">
        <v>230</v>
      </c>
      <c r="L128" s="9" t="s">
        <v>995</v>
      </c>
      <c r="M12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8740000</v>
      </c>
      <c r="N128" s="9" t="s">
        <v>292</v>
      </c>
    </row>
    <row r="129" spans="1:14" x14ac:dyDescent="0.3">
      <c r="A129" s="9" t="s">
        <v>47</v>
      </c>
      <c r="B129" s="9">
        <v>2022</v>
      </c>
      <c r="C129" s="9" t="s">
        <v>78</v>
      </c>
      <c r="D129" s="9" t="s">
        <v>996</v>
      </c>
      <c r="E129" s="11">
        <f t="shared" si="3"/>
        <v>325000000</v>
      </c>
      <c r="F129" s="9" t="s">
        <v>275</v>
      </c>
      <c r="G129" s="9" t="s">
        <v>195</v>
      </c>
      <c r="H129" s="9" t="s">
        <v>997</v>
      </c>
      <c r="I129" s="11">
        <f>IF(RIGHT(Table2[[#This Row],[Top 2 Export Value]],1)="M",VALUE(LEFT(Table2[[#This Row],[Top 2 Export Value]],LEN(Table2[[#This Row],[Top 2 Export Value]])-1))*1000000,IF(RIGHT(Table2[[#This Row],[Top 2 Export Value]],1)="B",VALUE(LEFT(Table2[[#This Row],[Top 2 Export Value]],LEN(Table2[[#This Row],[Top 2 Export Value]])-1))*1000000000,IF(RIGHT(D129,1)="k",VALUE(LEFT(Table2[[#This Row],[Top 2 Export Value]],LEN(Table2[[#This Row],[Top 2 Export Value]])-1))*1000,Table2[[#This Row],[Top 2 Export Value]])))</f>
        <v>251000000</v>
      </c>
      <c r="J129" s="9" t="s">
        <v>270</v>
      </c>
      <c r="K129" s="9" t="s">
        <v>230</v>
      </c>
      <c r="L129" s="9" t="s">
        <v>998</v>
      </c>
      <c r="M12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10400000</v>
      </c>
      <c r="N129" s="9" t="s">
        <v>292</v>
      </c>
    </row>
    <row r="130" spans="1:14" x14ac:dyDescent="0.3">
      <c r="A130" s="9" t="s">
        <v>47</v>
      </c>
      <c r="B130" s="9">
        <v>2023</v>
      </c>
      <c r="C130" s="9" t="s">
        <v>78</v>
      </c>
      <c r="D130" s="9" t="s">
        <v>999</v>
      </c>
      <c r="E130" s="11">
        <f t="shared" ref="E130:E161" si="4">IF(RIGHT(D130,1)="M",VALUE(LEFT(D130,LEN(D130)-1))*1000000,IF(RIGHT(D130,1)="B",VALUE(LEFT(D130,LEN(D130)-1))*1000000000,IF(RIGHT(D130,1)="K",VALUE(LEFT(D130,LEN(D130)-1))*1000,D130)))</f>
        <v>308000000</v>
      </c>
      <c r="F130" s="9" t="s">
        <v>38</v>
      </c>
      <c r="G130" s="9" t="s">
        <v>195</v>
      </c>
      <c r="H130" s="9" t="s">
        <v>1000</v>
      </c>
      <c r="I130" s="11">
        <f>IF(RIGHT(Table2[[#This Row],[Top 2 Export Value]],1)="M",VALUE(LEFT(Table2[[#This Row],[Top 2 Export Value]],LEN(Table2[[#This Row],[Top 2 Export Value]])-1))*1000000,IF(RIGHT(Table2[[#This Row],[Top 2 Export Value]],1)="B",VALUE(LEFT(Table2[[#This Row],[Top 2 Export Value]],LEN(Table2[[#This Row],[Top 2 Export Value]])-1))*1000000000,IF(RIGHT(D130,1)="k",VALUE(LEFT(Table2[[#This Row],[Top 2 Export Value]],LEN(Table2[[#This Row],[Top 2 Export Value]])-1))*1000,Table2[[#This Row],[Top 2 Export Value]])))</f>
        <v>280000000</v>
      </c>
      <c r="J130" s="9" t="s">
        <v>270</v>
      </c>
      <c r="K130" s="9" t="s">
        <v>230</v>
      </c>
      <c r="L130" s="9" t="s">
        <v>1001</v>
      </c>
      <c r="M13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17900000</v>
      </c>
      <c r="N130" s="9" t="s">
        <v>292</v>
      </c>
    </row>
    <row r="131" spans="1:14" x14ac:dyDescent="0.3">
      <c r="A131" s="9" t="s">
        <v>48</v>
      </c>
      <c r="B131" s="9">
        <v>2021</v>
      </c>
      <c r="C131" s="9" t="s">
        <v>199</v>
      </c>
      <c r="D131" s="9" t="s">
        <v>1002</v>
      </c>
      <c r="E131" s="11">
        <f t="shared" si="4"/>
        <v>43400000</v>
      </c>
      <c r="F131" s="9" t="s">
        <v>137</v>
      </c>
      <c r="G131" s="9" t="s">
        <v>84</v>
      </c>
      <c r="H131" s="9" t="s">
        <v>361</v>
      </c>
      <c r="I131" s="11">
        <f>IF(RIGHT(Table2[[#This Row],[Top 2 Export Value]],1)="M",VALUE(LEFT(Table2[[#This Row],[Top 2 Export Value]],LEN(Table2[[#This Row],[Top 2 Export Value]])-1))*1000000,IF(RIGHT(Table2[[#This Row],[Top 2 Export Value]],1)="B",VALUE(LEFT(Table2[[#This Row],[Top 2 Export Value]],LEN(Table2[[#This Row],[Top 2 Export Value]])-1))*1000000000,IF(RIGHT(D131,1)="k",VALUE(LEFT(Table2[[#This Row],[Top 2 Export Value]],LEN(Table2[[#This Row],[Top 2 Export Value]])-1))*1000,Table2[[#This Row],[Top 2 Export Value]])))</f>
        <v>26300000</v>
      </c>
      <c r="J131" s="9" t="s">
        <v>46</v>
      </c>
      <c r="K131" s="9" t="s">
        <v>78</v>
      </c>
      <c r="L131" s="9" t="s">
        <v>363</v>
      </c>
      <c r="M13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10700000</v>
      </c>
      <c r="N131" s="9" t="s">
        <v>287</v>
      </c>
    </row>
    <row r="132" spans="1:14" x14ac:dyDescent="0.3">
      <c r="A132" s="9" t="s">
        <v>48</v>
      </c>
      <c r="B132" s="9">
        <v>2022</v>
      </c>
      <c r="C132" s="9" t="s">
        <v>199</v>
      </c>
      <c r="D132" s="9" t="s">
        <v>606</v>
      </c>
      <c r="E132" s="11">
        <f t="shared" si="4"/>
        <v>41000000</v>
      </c>
      <c r="F132" s="9" t="s">
        <v>137</v>
      </c>
      <c r="G132" s="9" t="s">
        <v>84</v>
      </c>
      <c r="H132" s="9" t="s">
        <v>660</v>
      </c>
      <c r="I132" s="11">
        <f>IF(RIGHT(Table2[[#This Row],[Top 2 Export Value]],1)="M",VALUE(LEFT(Table2[[#This Row],[Top 2 Export Value]],LEN(Table2[[#This Row],[Top 2 Export Value]])-1))*1000000,IF(RIGHT(Table2[[#This Row],[Top 2 Export Value]],1)="B",VALUE(LEFT(Table2[[#This Row],[Top 2 Export Value]],LEN(Table2[[#This Row],[Top 2 Export Value]])-1))*1000000000,IF(RIGHT(D132,1)="k",VALUE(LEFT(Table2[[#This Row],[Top 2 Export Value]],LEN(Table2[[#This Row],[Top 2 Export Value]])-1))*1000,Table2[[#This Row],[Top 2 Export Value]])))</f>
        <v>27800000</v>
      </c>
      <c r="J132" s="9" t="s">
        <v>46</v>
      </c>
      <c r="K132" s="9" t="s">
        <v>78</v>
      </c>
      <c r="L132" s="9" t="s">
        <v>1003</v>
      </c>
      <c r="M13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10200000</v>
      </c>
      <c r="N132" s="9" t="s">
        <v>287</v>
      </c>
    </row>
    <row r="133" spans="1:14" x14ac:dyDescent="0.3">
      <c r="A133" s="9" t="s">
        <v>48</v>
      </c>
      <c r="B133" s="9">
        <v>2023</v>
      </c>
      <c r="C133" s="9" t="s">
        <v>199</v>
      </c>
      <c r="D133" s="9" t="s">
        <v>1004</v>
      </c>
      <c r="E133" s="11">
        <f t="shared" si="4"/>
        <v>50100000</v>
      </c>
      <c r="F133" s="9" t="s">
        <v>137</v>
      </c>
      <c r="G133" s="9" t="s">
        <v>84</v>
      </c>
      <c r="H133" s="9" t="s">
        <v>1005</v>
      </c>
      <c r="I133" s="11">
        <f>IF(RIGHT(Table2[[#This Row],[Top 2 Export Value]],1)="M",VALUE(LEFT(Table2[[#This Row],[Top 2 Export Value]],LEN(Table2[[#This Row],[Top 2 Export Value]])-1))*1000000,IF(RIGHT(Table2[[#This Row],[Top 2 Export Value]],1)="B",VALUE(LEFT(Table2[[#This Row],[Top 2 Export Value]],LEN(Table2[[#This Row],[Top 2 Export Value]])-1))*1000000000,IF(RIGHT(D133,1)="k",VALUE(LEFT(Table2[[#This Row],[Top 2 Export Value]],LEN(Table2[[#This Row],[Top 2 Export Value]])-1))*1000,Table2[[#This Row],[Top 2 Export Value]])))</f>
        <v>12100000</v>
      </c>
      <c r="J133" s="9" t="s">
        <v>137</v>
      </c>
      <c r="K133" s="9" t="s">
        <v>193</v>
      </c>
      <c r="L133" s="9" t="s">
        <v>1006</v>
      </c>
      <c r="M13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3070000</v>
      </c>
      <c r="N133" s="9" t="s">
        <v>273</v>
      </c>
    </row>
    <row r="134" spans="1:14" x14ac:dyDescent="0.3">
      <c r="A134" s="9" t="s">
        <v>49</v>
      </c>
      <c r="B134" s="9">
        <v>2021</v>
      </c>
      <c r="C134" s="9" t="s">
        <v>257</v>
      </c>
      <c r="D134" s="9" t="s">
        <v>540</v>
      </c>
      <c r="E134" s="11">
        <f t="shared" si="4"/>
        <v>213000000</v>
      </c>
      <c r="F134" s="9" t="s">
        <v>158</v>
      </c>
      <c r="G134" s="9" t="s">
        <v>258</v>
      </c>
      <c r="H134" s="9" t="s">
        <v>1007</v>
      </c>
      <c r="I134" s="11">
        <f>IF(RIGHT(Table2[[#This Row],[Top 2 Export Value]],1)="M",VALUE(LEFT(Table2[[#This Row],[Top 2 Export Value]],LEN(Table2[[#This Row],[Top 2 Export Value]])-1))*1000000,IF(RIGHT(Table2[[#This Row],[Top 2 Export Value]],1)="B",VALUE(LEFT(Table2[[#This Row],[Top 2 Export Value]],LEN(Table2[[#This Row],[Top 2 Export Value]])-1))*1000000000,IF(RIGHT(D134,1)="k",VALUE(LEFT(Table2[[#This Row],[Top 2 Export Value]],LEN(Table2[[#This Row],[Top 2 Export Value]])-1))*1000,Table2[[#This Row],[Top 2 Export Value]])))</f>
        <v>37400000</v>
      </c>
      <c r="J134" s="9" t="s">
        <v>158</v>
      </c>
      <c r="K134" s="9" t="s">
        <v>191</v>
      </c>
      <c r="L134" s="9" t="s">
        <v>558</v>
      </c>
      <c r="M13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35100000</v>
      </c>
      <c r="N134" s="9" t="s">
        <v>145</v>
      </c>
    </row>
    <row r="135" spans="1:14" x14ac:dyDescent="0.3">
      <c r="A135" s="9" t="s">
        <v>49</v>
      </c>
      <c r="B135" s="9">
        <v>2022</v>
      </c>
      <c r="C135" s="9" t="s">
        <v>257</v>
      </c>
      <c r="D135" s="9" t="s">
        <v>1008</v>
      </c>
      <c r="E135" s="11">
        <f t="shared" si="4"/>
        <v>279000000</v>
      </c>
      <c r="F135" s="9" t="s">
        <v>284</v>
      </c>
      <c r="G135" s="9" t="s">
        <v>258</v>
      </c>
      <c r="H135" s="9" t="s">
        <v>1009</v>
      </c>
      <c r="I135" s="11">
        <f>IF(RIGHT(Table2[[#This Row],[Top 2 Export Value]],1)="M",VALUE(LEFT(Table2[[#This Row],[Top 2 Export Value]],LEN(Table2[[#This Row],[Top 2 Export Value]])-1))*1000000,IF(RIGHT(Table2[[#This Row],[Top 2 Export Value]],1)="B",VALUE(LEFT(Table2[[#This Row],[Top 2 Export Value]],LEN(Table2[[#This Row],[Top 2 Export Value]])-1))*1000000000,IF(RIGHT(D135,1)="k",VALUE(LEFT(Table2[[#This Row],[Top 2 Export Value]],LEN(Table2[[#This Row],[Top 2 Export Value]])-1))*1000,Table2[[#This Row],[Top 2 Export Value]])))</f>
        <v>39600000</v>
      </c>
      <c r="J135" s="9" t="s">
        <v>158</v>
      </c>
      <c r="K135" s="9" t="s">
        <v>181</v>
      </c>
      <c r="L135" s="9" t="s">
        <v>1010</v>
      </c>
      <c r="M13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21400000</v>
      </c>
      <c r="N135" s="9" t="s">
        <v>130</v>
      </c>
    </row>
    <row r="136" spans="1:14" x14ac:dyDescent="0.3">
      <c r="A136" s="9" t="s">
        <v>49</v>
      </c>
      <c r="B136" s="9">
        <v>2023</v>
      </c>
      <c r="C136" s="9" t="s">
        <v>257</v>
      </c>
      <c r="D136" s="9" t="s">
        <v>438</v>
      </c>
      <c r="E136" s="11">
        <f t="shared" si="4"/>
        <v>377000000</v>
      </c>
      <c r="F136" s="9" t="s">
        <v>284</v>
      </c>
      <c r="G136" s="9" t="s">
        <v>259</v>
      </c>
      <c r="H136" s="9" t="s">
        <v>1011</v>
      </c>
      <c r="I136" s="11">
        <f>IF(RIGHT(Table2[[#This Row],[Top 2 Export Value]],1)="M",VALUE(LEFT(Table2[[#This Row],[Top 2 Export Value]],LEN(Table2[[#This Row],[Top 2 Export Value]])-1))*1000000,IF(RIGHT(Table2[[#This Row],[Top 2 Export Value]],1)="B",VALUE(LEFT(Table2[[#This Row],[Top 2 Export Value]],LEN(Table2[[#This Row],[Top 2 Export Value]])-1))*1000000000,IF(RIGHT(D136,1)="k",VALUE(LEFT(Table2[[#This Row],[Top 2 Export Value]],LEN(Table2[[#This Row],[Top 2 Export Value]])-1))*1000,Table2[[#This Row],[Top 2 Export Value]])))</f>
        <v>74700000</v>
      </c>
      <c r="J136" s="9" t="s">
        <v>284</v>
      </c>
      <c r="K136" s="9" t="s">
        <v>258</v>
      </c>
      <c r="L136" s="9" t="s">
        <v>600</v>
      </c>
      <c r="M13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43000000</v>
      </c>
      <c r="N136" s="9" t="s">
        <v>158</v>
      </c>
    </row>
    <row r="137" spans="1:14" x14ac:dyDescent="0.3">
      <c r="A137" s="9" t="s">
        <v>50</v>
      </c>
      <c r="B137" s="9">
        <v>2021</v>
      </c>
      <c r="C137" s="9" t="s">
        <v>62</v>
      </c>
      <c r="D137" s="9" t="s">
        <v>447</v>
      </c>
      <c r="E137" s="11">
        <f t="shared" si="4"/>
        <v>1200000000</v>
      </c>
      <c r="F137" s="9" t="s">
        <v>293</v>
      </c>
      <c r="G137" s="9" t="s">
        <v>251</v>
      </c>
      <c r="H137" s="9" t="s">
        <v>1012</v>
      </c>
      <c r="I137" s="11">
        <f>IF(RIGHT(Table2[[#This Row],[Top 2 Export Value]],1)="M",VALUE(LEFT(Table2[[#This Row],[Top 2 Export Value]],LEN(Table2[[#This Row],[Top 2 Export Value]])-1))*1000000,IF(RIGHT(Table2[[#This Row],[Top 2 Export Value]],1)="B",VALUE(LEFT(Table2[[#This Row],[Top 2 Export Value]],LEN(Table2[[#This Row],[Top 2 Export Value]])-1))*1000000000,IF(RIGHT(D137,1)="k",VALUE(LEFT(Table2[[#This Row],[Top 2 Export Value]],LEN(Table2[[#This Row],[Top 2 Export Value]])-1))*1000,Table2[[#This Row],[Top 2 Export Value]])))</f>
        <v>761400000</v>
      </c>
      <c r="J137" s="9" t="s">
        <v>137</v>
      </c>
      <c r="K137" s="9" t="s">
        <v>218</v>
      </c>
      <c r="L137" s="9" t="s">
        <v>1013</v>
      </c>
      <c r="M13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759700000</v>
      </c>
      <c r="N137" s="9" t="s">
        <v>137</v>
      </c>
    </row>
    <row r="138" spans="1:14" x14ac:dyDescent="0.3">
      <c r="A138" s="9" t="s">
        <v>50</v>
      </c>
      <c r="B138" s="9">
        <v>2022</v>
      </c>
      <c r="C138" s="9" t="s">
        <v>62</v>
      </c>
      <c r="D138" s="9" t="s">
        <v>1014</v>
      </c>
      <c r="E138" s="11">
        <f t="shared" si="4"/>
        <v>809900000</v>
      </c>
      <c r="F138" s="9" t="s">
        <v>275</v>
      </c>
      <c r="G138" s="9" t="s">
        <v>218</v>
      </c>
      <c r="H138" s="9" t="s">
        <v>1015</v>
      </c>
      <c r="I138" s="11">
        <f>IF(RIGHT(Table2[[#This Row],[Top 2 Export Value]],1)="M",VALUE(LEFT(Table2[[#This Row],[Top 2 Export Value]],LEN(Table2[[#This Row],[Top 2 Export Value]])-1))*1000000,IF(RIGHT(Table2[[#This Row],[Top 2 Export Value]],1)="B",VALUE(LEFT(Table2[[#This Row],[Top 2 Export Value]],LEN(Table2[[#This Row],[Top 2 Export Value]])-1))*1000000000,IF(RIGHT(D138,1)="k",VALUE(LEFT(Table2[[#This Row],[Top 2 Export Value]],LEN(Table2[[#This Row],[Top 2 Export Value]])-1))*1000,Table2[[#This Row],[Top 2 Export Value]])))</f>
        <v>809200000</v>
      </c>
      <c r="J138" s="9" t="s">
        <v>137</v>
      </c>
      <c r="K138" s="9" t="s">
        <v>107</v>
      </c>
      <c r="L138" s="9" t="s">
        <v>1016</v>
      </c>
      <c r="M13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743400000</v>
      </c>
      <c r="N138" s="9" t="s">
        <v>290</v>
      </c>
    </row>
    <row r="139" spans="1:14" x14ac:dyDescent="0.3">
      <c r="A139" s="9" t="s">
        <v>50</v>
      </c>
      <c r="B139" s="9">
        <v>2023</v>
      </c>
      <c r="C139" s="9" t="s">
        <v>62</v>
      </c>
      <c r="D139" s="9" t="s">
        <v>447</v>
      </c>
      <c r="E139" s="11">
        <f t="shared" si="4"/>
        <v>1200000000</v>
      </c>
      <c r="F139" s="9" t="s">
        <v>293</v>
      </c>
      <c r="G139" s="9" t="s">
        <v>218</v>
      </c>
      <c r="H139" s="9" t="s">
        <v>1017</v>
      </c>
      <c r="I139" s="11">
        <f>IF(RIGHT(Table2[[#This Row],[Top 2 Export Value]],1)="M",VALUE(LEFT(Table2[[#This Row],[Top 2 Export Value]],LEN(Table2[[#This Row],[Top 2 Export Value]])-1))*1000000,IF(RIGHT(Table2[[#This Row],[Top 2 Export Value]],1)="B",VALUE(LEFT(Table2[[#This Row],[Top 2 Export Value]],LEN(Table2[[#This Row],[Top 2 Export Value]])-1))*1000000000,IF(RIGHT(D139,1)="k",VALUE(LEFT(Table2[[#This Row],[Top 2 Export Value]],LEN(Table2[[#This Row],[Top 2 Export Value]])-1))*1000,Table2[[#This Row],[Top 2 Export Value]])))</f>
        <v>791100000</v>
      </c>
      <c r="J139" s="9" t="s">
        <v>137</v>
      </c>
      <c r="K139" s="9" t="s">
        <v>107</v>
      </c>
      <c r="L139" s="9" t="s">
        <v>1018</v>
      </c>
      <c r="M13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617900000</v>
      </c>
      <c r="N139" s="9" t="s">
        <v>290</v>
      </c>
    </row>
    <row r="140" spans="1:14" x14ac:dyDescent="0.3">
      <c r="A140" s="9" t="s">
        <v>51</v>
      </c>
      <c r="B140" s="9">
        <v>2021</v>
      </c>
      <c r="C140" s="9" t="s">
        <v>260</v>
      </c>
      <c r="D140" s="9" t="s">
        <v>1019</v>
      </c>
      <c r="E140" s="11">
        <f t="shared" si="4"/>
        <v>9750000</v>
      </c>
      <c r="F140" s="9" t="s">
        <v>130</v>
      </c>
      <c r="G140" s="9" t="s">
        <v>261</v>
      </c>
      <c r="H140" s="9" t="s">
        <v>1020</v>
      </c>
      <c r="I140" s="11">
        <f>IF(RIGHT(Table2[[#This Row],[Top 2 Export Value]],1)="M",VALUE(LEFT(Table2[[#This Row],[Top 2 Export Value]],LEN(Table2[[#This Row],[Top 2 Export Value]])-1))*1000000,IF(RIGHT(Table2[[#This Row],[Top 2 Export Value]],1)="B",VALUE(LEFT(Table2[[#This Row],[Top 2 Export Value]],LEN(Table2[[#This Row],[Top 2 Export Value]])-1))*1000000000,IF(RIGHT(D140,1)="k",VALUE(LEFT(Table2[[#This Row],[Top 2 Export Value]],LEN(Table2[[#This Row],[Top 2 Export Value]])-1))*1000,Table2[[#This Row],[Top 2 Export Value]])))</f>
        <v>2100000</v>
      </c>
      <c r="J140" s="9" t="s">
        <v>130</v>
      </c>
      <c r="K140" s="9" t="s">
        <v>262</v>
      </c>
      <c r="L140" s="9" t="s">
        <v>1021</v>
      </c>
      <c r="M14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1990000</v>
      </c>
      <c r="N140" s="9" t="s">
        <v>130</v>
      </c>
    </row>
    <row r="141" spans="1:14" x14ac:dyDescent="0.3">
      <c r="A141" s="9" t="s">
        <v>51</v>
      </c>
      <c r="B141" s="9">
        <v>2022</v>
      </c>
      <c r="C141" s="9" t="s">
        <v>260</v>
      </c>
      <c r="D141" s="9" t="s">
        <v>368</v>
      </c>
      <c r="E141" s="11">
        <f t="shared" si="4"/>
        <v>15200000</v>
      </c>
      <c r="F141" s="9" t="s">
        <v>130</v>
      </c>
      <c r="G141" s="9" t="s">
        <v>95</v>
      </c>
      <c r="H141" s="9" t="s">
        <v>1022</v>
      </c>
      <c r="I141" s="11">
        <f>IF(RIGHT(Table2[[#This Row],[Top 2 Export Value]],1)="M",VALUE(LEFT(Table2[[#This Row],[Top 2 Export Value]],LEN(Table2[[#This Row],[Top 2 Export Value]])-1))*1000000,IF(RIGHT(Table2[[#This Row],[Top 2 Export Value]],1)="B",VALUE(LEFT(Table2[[#This Row],[Top 2 Export Value]],LEN(Table2[[#This Row],[Top 2 Export Value]])-1))*1000000000,IF(RIGHT(D141,1)="k",VALUE(LEFT(Table2[[#This Row],[Top 2 Export Value]],LEN(Table2[[#This Row],[Top 2 Export Value]])-1))*1000,Table2[[#This Row],[Top 2 Export Value]])))</f>
        <v>2980000</v>
      </c>
      <c r="J141" s="9" t="s">
        <v>130</v>
      </c>
      <c r="K141" s="9" t="s">
        <v>78</v>
      </c>
      <c r="L141" s="9" t="s">
        <v>1023</v>
      </c>
      <c r="M14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1910000</v>
      </c>
      <c r="N141" s="9" t="s">
        <v>55</v>
      </c>
    </row>
    <row r="142" spans="1:14" x14ac:dyDescent="0.3">
      <c r="A142" s="9" t="s">
        <v>51</v>
      </c>
      <c r="B142" s="9">
        <v>2023</v>
      </c>
      <c r="C142" s="9" t="s">
        <v>260</v>
      </c>
      <c r="D142" s="9" t="s">
        <v>1024</v>
      </c>
      <c r="E142" s="11">
        <f t="shared" si="4"/>
        <v>27700000</v>
      </c>
      <c r="F142" s="9" t="s">
        <v>130</v>
      </c>
      <c r="G142" s="9" t="s">
        <v>78</v>
      </c>
      <c r="H142" s="9" t="s">
        <v>1025</v>
      </c>
      <c r="I142" s="11">
        <f>IF(RIGHT(Table2[[#This Row],[Top 2 Export Value]],1)="M",VALUE(LEFT(Table2[[#This Row],[Top 2 Export Value]],LEN(Table2[[#This Row],[Top 2 Export Value]])-1))*1000000,IF(RIGHT(Table2[[#This Row],[Top 2 Export Value]],1)="B",VALUE(LEFT(Table2[[#This Row],[Top 2 Export Value]],LEN(Table2[[#This Row],[Top 2 Export Value]])-1))*1000000000,IF(RIGHT(D142,1)="k",VALUE(LEFT(Table2[[#This Row],[Top 2 Export Value]],LEN(Table2[[#This Row],[Top 2 Export Value]])-1))*1000,Table2[[#This Row],[Top 2 Export Value]])))</f>
        <v>2640000</v>
      </c>
      <c r="J142" s="9" t="s">
        <v>55</v>
      </c>
      <c r="K142" s="9" t="s">
        <v>191</v>
      </c>
      <c r="L142" s="9" t="s">
        <v>1026</v>
      </c>
      <c r="M14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2610000</v>
      </c>
      <c r="N142" s="9" t="s">
        <v>130</v>
      </c>
    </row>
    <row r="143" spans="1:14" x14ac:dyDescent="0.3">
      <c r="A143" s="9" t="s">
        <v>52</v>
      </c>
      <c r="B143" s="9">
        <v>2021</v>
      </c>
      <c r="C143" s="9" t="s">
        <v>241</v>
      </c>
      <c r="D143" s="9" t="s">
        <v>972</v>
      </c>
      <c r="E143" s="11">
        <f t="shared" si="4"/>
        <v>488000000</v>
      </c>
      <c r="F143" s="9" t="s">
        <v>129</v>
      </c>
      <c r="G143" s="9" t="s">
        <v>191</v>
      </c>
      <c r="H143" s="9" t="s">
        <v>1027</v>
      </c>
      <c r="I143" s="11">
        <f>IF(RIGHT(Table2[[#This Row],[Top 2 Export Value]],1)="M",VALUE(LEFT(Table2[[#This Row],[Top 2 Export Value]],LEN(Table2[[#This Row],[Top 2 Export Value]])-1))*1000000,IF(RIGHT(Table2[[#This Row],[Top 2 Export Value]],1)="B",VALUE(LEFT(Table2[[#This Row],[Top 2 Export Value]],LEN(Table2[[#This Row],[Top 2 Export Value]])-1))*1000000000,IF(RIGHT(D143,1)="k",VALUE(LEFT(Table2[[#This Row],[Top 2 Export Value]],LEN(Table2[[#This Row],[Top 2 Export Value]])-1))*1000,Table2[[#This Row],[Top 2 Export Value]])))</f>
        <v>486000000</v>
      </c>
      <c r="J143" s="9" t="s">
        <v>129</v>
      </c>
      <c r="K143" s="9" t="s">
        <v>263</v>
      </c>
      <c r="L143" s="9" t="s">
        <v>1028</v>
      </c>
      <c r="M14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239000000</v>
      </c>
      <c r="N143" s="9" t="s">
        <v>284</v>
      </c>
    </row>
    <row r="144" spans="1:14" x14ac:dyDescent="0.3">
      <c r="A144" s="9" t="s">
        <v>52</v>
      </c>
      <c r="B144" s="9">
        <v>2022</v>
      </c>
      <c r="C144" s="9" t="s">
        <v>208</v>
      </c>
      <c r="D144" s="9" t="s">
        <v>769</v>
      </c>
      <c r="E144" s="11">
        <f t="shared" si="4"/>
        <v>719000000</v>
      </c>
      <c r="F144" s="9" t="s">
        <v>129</v>
      </c>
      <c r="G144" s="9" t="s">
        <v>241</v>
      </c>
      <c r="H144" s="9" t="s">
        <v>1029</v>
      </c>
      <c r="I144" s="11">
        <f>IF(RIGHT(Table2[[#This Row],[Top 2 Export Value]],1)="M",VALUE(LEFT(Table2[[#This Row],[Top 2 Export Value]],LEN(Table2[[#This Row],[Top 2 Export Value]])-1))*1000000,IF(RIGHT(Table2[[#This Row],[Top 2 Export Value]],1)="B",VALUE(LEFT(Table2[[#This Row],[Top 2 Export Value]],LEN(Table2[[#This Row],[Top 2 Export Value]])-1))*1000000000,IF(RIGHT(D144,1)="k",VALUE(LEFT(Table2[[#This Row],[Top 2 Export Value]],LEN(Table2[[#This Row],[Top 2 Export Value]])-1))*1000,Table2[[#This Row],[Top 2 Export Value]])))</f>
        <v>425000000</v>
      </c>
      <c r="J144" s="9" t="s">
        <v>129</v>
      </c>
      <c r="K144" s="9" t="s">
        <v>190</v>
      </c>
      <c r="L144" s="9" t="s">
        <v>1030</v>
      </c>
      <c r="M14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398000000</v>
      </c>
      <c r="N144" s="9" t="s">
        <v>145</v>
      </c>
    </row>
    <row r="145" spans="1:14" x14ac:dyDescent="0.3">
      <c r="A145" s="9" t="s">
        <v>52</v>
      </c>
      <c r="B145" s="9">
        <v>2023</v>
      </c>
      <c r="C145" s="9" t="s">
        <v>208</v>
      </c>
      <c r="D145" s="9" t="s">
        <v>1031</v>
      </c>
      <c r="E145" s="11">
        <f t="shared" si="4"/>
        <v>709000000</v>
      </c>
      <c r="F145" s="9" t="s">
        <v>129</v>
      </c>
      <c r="G145" s="9" t="s">
        <v>264</v>
      </c>
      <c r="H145" s="9" t="s">
        <v>1032</v>
      </c>
      <c r="I145" s="11">
        <f>IF(RIGHT(Table2[[#This Row],[Top 2 Export Value]],1)="M",VALUE(LEFT(Table2[[#This Row],[Top 2 Export Value]],LEN(Table2[[#This Row],[Top 2 Export Value]])-1))*1000000,IF(RIGHT(Table2[[#This Row],[Top 2 Export Value]],1)="B",VALUE(LEFT(Table2[[#This Row],[Top 2 Export Value]],LEN(Table2[[#This Row],[Top 2 Export Value]])-1))*1000000000,IF(RIGHT(D145,1)="k",VALUE(LEFT(Table2[[#This Row],[Top 2 Export Value]],LEN(Table2[[#This Row],[Top 2 Export Value]])-1))*1000,Table2[[#This Row],[Top 2 Export Value]])))</f>
        <v>693000000</v>
      </c>
      <c r="J145" s="9" t="s">
        <v>284</v>
      </c>
      <c r="K145" s="9" t="s">
        <v>241</v>
      </c>
      <c r="L145" s="9" t="s">
        <v>1033</v>
      </c>
      <c r="M14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437000000</v>
      </c>
      <c r="N145" s="9" t="s">
        <v>129</v>
      </c>
    </row>
    <row r="146" spans="1:14" x14ac:dyDescent="0.3">
      <c r="A146" s="9" t="s">
        <v>53</v>
      </c>
      <c r="B146" s="9">
        <v>2021</v>
      </c>
      <c r="C146" s="9" t="s">
        <v>186</v>
      </c>
      <c r="D146" s="9" t="s">
        <v>1034</v>
      </c>
      <c r="E146" s="11">
        <f t="shared" si="4"/>
        <v>76400000</v>
      </c>
      <c r="F146" s="9" t="s">
        <v>122</v>
      </c>
      <c r="G146" s="9" t="s">
        <v>84</v>
      </c>
      <c r="H146" s="9" t="s">
        <v>1035</v>
      </c>
      <c r="I146" s="11">
        <f>IF(RIGHT(Table2[[#This Row],[Top 2 Export Value]],1)="M",VALUE(LEFT(Table2[[#This Row],[Top 2 Export Value]],LEN(Table2[[#This Row],[Top 2 Export Value]])-1))*1000000,IF(RIGHT(Table2[[#This Row],[Top 2 Export Value]],1)="B",VALUE(LEFT(Table2[[#This Row],[Top 2 Export Value]],LEN(Table2[[#This Row],[Top 2 Export Value]])-1))*1000000000,IF(RIGHT(D146,1)="k",VALUE(LEFT(Table2[[#This Row],[Top 2 Export Value]],LEN(Table2[[#This Row],[Top 2 Export Value]])-1))*1000,Table2[[#This Row],[Top 2 Export Value]])))</f>
        <v>50200000</v>
      </c>
      <c r="J146" s="9" t="s">
        <v>42</v>
      </c>
      <c r="K146" s="9" t="s">
        <v>190</v>
      </c>
      <c r="L146" s="9" t="s">
        <v>1036</v>
      </c>
      <c r="M14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45200000</v>
      </c>
      <c r="N146" s="9" t="s">
        <v>276</v>
      </c>
    </row>
    <row r="147" spans="1:14" x14ac:dyDescent="0.3">
      <c r="A147" s="9" t="s">
        <v>53</v>
      </c>
      <c r="B147" s="9">
        <v>2022</v>
      </c>
      <c r="C147" s="9" t="s">
        <v>190</v>
      </c>
      <c r="D147" s="9" t="s">
        <v>1037</v>
      </c>
      <c r="E147" s="11">
        <f t="shared" si="4"/>
        <v>65000000</v>
      </c>
      <c r="F147" s="9" t="s">
        <v>276</v>
      </c>
      <c r="G147" s="9" t="s">
        <v>84</v>
      </c>
      <c r="H147" s="9" t="s">
        <v>1038</v>
      </c>
      <c r="I147" s="11">
        <f>IF(RIGHT(Table2[[#This Row],[Top 2 Export Value]],1)="M",VALUE(LEFT(Table2[[#This Row],[Top 2 Export Value]],LEN(Table2[[#This Row],[Top 2 Export Value]])-1))*1000000,IF(RIGHT(Table2[[#This Row],[Top 2 Export Value]],1)="B",VALUE(LEFT(Table2[[#This Row],[Top 2 Export Value]],LEN(Table2[[#This Row],[Top 2 Export Value]])-1))*1000000000,IF(RIGHT(D147,1)="k",VALUE(LEFT(Table2[[#This Row],[Top 2 Export Value]],LEN(Table2[[#This Row],[Top 2 Export Value]])-1))*1000,Table2[[#This Row],[Top 2 Export Value]])))</f>
        <v>56700000</v>
      </c>
      <c r="J147" s="9" t="s">
        <v>42</v>
      </c>
      <c r="K147" s="9" t="s">
        <v>107</v>
      </c>
      <c r="L147" s="9" t="s">
        <v>1039</v>
      </c>
      <c r="M14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23400000</v>
      </c>
      <c r="N147" s="9" t="s">
        <v>9</v>
      </c>
    </row>
    <row r="148" spans="1:14" x14ac:dyDescent="0.3">
      <c r="A148" s="9" t="s">
        <v>53</v>
      </c>
      <c r="B148" s="9">
        <v>2023</v>
      </c>
      <c r="C148" s="9" t="s">
        <v>265</v>
      </c>
      <c r="D148" s="9" t="s">
        <v>1040</v>
      </c>
      <c r="E148" s="11">
        <f t="shared" si="4"/>
        <v>81800000</v>
      </c>
      <c r="F148" s="9" t="s">
        <v>280</v>
      </c>
      <c r="G148" s="9" t="s">
        <v>84</v>
      </c>
      <c r="H148" s="9" t="s">
        <v>409</v>
      </c>
      <c r="I148" s="11">
        <f>IF(RIGHT(Table2[[#This Row],[Top 2 Export Value]],1)="M",VALUE(LEFT(Table2[[#This Row],[Top 2 Export Value]],LEN(Table2[[#This Row],[Top 2 Export Value]])-1))*1000000,IF(RIGHT(Table2[[#This Row],[Top 2 Export Value]],1)="B",VALUE(LEFT(Table2[[#This Row],[Top 2 Export Value]],LEN(Table2[[#This Row],[Top 2 Export Value]])-1))*1000000000,IF(RIGHT(D148,1)="k",VALUE(LEFT(Table2[[#This Row],[Top 2 Export Value]],LEN(Table2[[#This Row],[Top 2 Export Value]])-1))*1000,Table2[[#This Row],[Top 2 Export Value]])))</f>
        <v>69200000</v>
      </c>
      <c r="J148" s="9" t="s">
        <v>42</v>
      </c>
      <c r="K148" s="9" t="s">
        <v>186</v>
      </c>
      <c r="L148" s="9" t="s">
        <v>494</v>
      </c>
      <c r="M14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59100000</v>
      </c>
      <c r="N148" s="9" t="s">
        <v>164</v>
      </c>
    </row>
    <row r="149" spans="1:14" x14ac:dyDescent="0.3">
      <c r="A149" s="9" t="s">
        <v>54</v>
      </c>
      <c r="B149" s="9">
        <v>2021</v>
      </c>
      <c r="C149" s="9" t="s">
        <v>266</v>
      </c>
      <c r="D149" s="9" t="s">
        <v>1041</v>
      </c>
      <c r="E149" s="11">
        <f t="shared" si="4"/>
        <v>722000000</v>
      </c>
      <c r="F149" s="9" t="s">
        <v>170</v>
      </c>
      <c r="G149" s="9" t="s">
        <v>178</v>
      </c>
      <c r="H149" s="9" t="s">
        <v>1042</v>
      </c>
      <c r="I149" s="11">
        <f>IF(RIGHT(Table2[[#This Row],[Top 2 Export Value]],1)="M",VALUE(LEFT(Table2[[#This Row],[Top 2 Export Value]],LEN(Table2[[#This Row],[Top 2 Export Value]])-1))*1000000,IF(RIGHT(Table2[[#This Row],[Top 2 Export Value]],1)="B",VALUE(LEFT(Table2[[#This Row],[Top 2 Export Value]],LEN(Table2[[#This Row],[Top 2 Export Value]])-1))*1000000000,IF(RIGHT(D149,1)="k",VALUE(LEFT(Table2[[#This Row],[Top 2 Export Value]],LEN(Table2[[#This Row],[Top 2 Export Value]])-1))*1000,Table2[[#This Row],[Top 2 Export Value]])))</f>
        <v>293000000</v>
      </c>
      <c r="J149" s="9" t="s">
        <v>39</v>
      </c>
      <c r="K149" s="9" t="s">
        <v>181</v>
      </c>
      <c r="L149" s="9" t="s">
        <v>478</v>
      </c>
      <c r="M14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106000000</v>
      </c>
      <c r="N149" s="9" t="s">
        <v>170</v>
      </c>
    </row>
    <row r="150" spans="1:14" x14ac:dyDescent="0.3">
      <c r="A150" s="9" t="s">
        <v>54</v>
      </c>
      <c r="B150" s="9">
        <v>2022</v>
      </c>
      <c r="C150" s="9" t="s">
        <v>266</v>
      </c>
      <c r="D150" s="9" t="s">
        <v>1043</v>
      </c>
      <c r="E150" s="11">
        <f t="shared" si="4"/>
        <v>813000000</v>
      </c>
      <c r="F150" s="9" t="s">
        <v>170</v>
      </c>
      <c r="G150" s="9" t="s">
        <v>178</v>
      </c>
      <c r="H150" s="9" t="s">
        <v>1044</v>
      </c>
      <c r="I150" s="11">
        <f>IF(RIGHT(Table2[[#This Row],[Top 2 Export Value]],1)="M",VALUE(LEFT(Table2[[#This Row],[Top 2 Export Value]],LEN(Table2[[#This Row],[Top 2 Export Value]])-1))*1000000,IF(RIGHT(Table2[[#This Row],[Top 2 Export Value]],1)="B",VALUE(LEFT(Table2[[#This Row],[Top 2 Export Value]],LEN(Table2[[#This Row],[Top 2 Export Value]])-1))*1000000000,IF(RIGHT(D150,1)="k",VALUE(LEFT(Table2[[#This Row],[Top 2 Export Value]],LEN(Table2[[#This Row],[Top 2 Export Value]])-1))*1000,Table2[[#This Row],[Top 2 Export Value]])))</f>
        <v>288000000</v>
      </c>
      <c r="J150" s="9" t="s">
        <v>39</v>
      </c>
      <c r="K150" s="9" t="s">
        <v>181</v>
      </c>
      <c r="L150" s="9" t="s">
        <v>742</v>
      </c>
      <c r="M15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113000000</v>
      </c>
      <c r="N150" s="9" t="s">
        <v>281</v>
      </c>
    </row>
    <row r="151" spans="1:14" x14ac:dyDescent="0.3">
      <c r="A151" s="9" t="s">
        <v>54</v>
      </c>
      <c r="B151" s="9">
        <v>2023</v>
      </c>
      <c r="C151" s="9" t="s">
        <v>266</v>
      </c>
      <c r="D151" s="9" t="s">
        <v>1045</v>
      </c>
      <c r="E151" s="11">
        <f t="shared" si="4"/>
        <v>927000000</v>
      </c>
      <c r="F151" s="9" t="s">
        <v>281</v>
      </c>
      <c r="G151" s="9" t="s">
        <v>178</v>
      </c>
      <c r="H151" s="9" t="s">
        <v>611</v>
      </c>
      <c r="I151" s="11">
        <f>IF(RIGHT(Table2[[#This Row],[Top 2 Export Value]],1)="M",VALUE(LEFT(Table2[[#This Row],[Top 2 Export Value]],LEN(Table2[[#This Row],[Top 2 Export Value]])-1))*1000000,IF(RIGHT(Table2[[#This Row],[Top 2 Export Value]],1)="B",VALUE(LEFT(Table2[[#This Row],[Top 2 Export Value]],LEN(Table2[[#This Row],[Top 2 Export Value]])-1))*1000000000,IF(RIGHT(D151,1)="k",VALUE(LEFT(Table2[[#This Row],[Top 2 Export Value]],LEN(Table2[[#This Row],[Top 2 Export Value]])-1))*1000,Table2[[#This Row],[Top 2 Export Value]])))</f>
        <v>312000000</v>
      </c>
      <c r="J151" s="9" t="s">
        <v>39</v>
      </c>
      <c r="K151" s="9" t="s">
        <v>181</v>
      </c>
      <c r="L151" s="9" t="s">
        <v>349</v>
      </c>
      <c r="M15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90800000</v>
      </c>
      <c r="N151" s="9" t="s">
        <v>281</v>
      </c>
    </row>
    <row r="152" spans="1:14" x14ac:dyDescent="0.3">
      <c r="A152" s="9" t="s">
        <v>55</v>
      </c>
      <c r="B152" s="9">
        <v>2021</v>
      </c>
      <c r="C152" s="9" t="s">
        <v>193</v>
      </c>
      <c r="D152" s="9" t="s">
        <v>1046</v>
      </c>
      <c r="E152" s="11">
        <f t="shared" si="4"/>
        <v>725000000</v>
      </c>
      <c r="F152" s="9" t="s">
        <v>281</v>
      </c>
      <c r="G152" s="9" t="s">
        <v>75</v>
      </c>
      <c r="H152" s="9" t="s">
        <v>742</v>
      </c>
      <c r="I152" s="11">
        <f>IF(RIGHT(Table2[[#This Row],[Top 2 Export Value]],1)="M",VALUE(LEFT(Table2[[#This Row],[Top 2 Export Value]],LEN(Table2[[#This Row],[Top 2 Export Value]])-1))*1000000,IF(RIGHT(Table2[[#This Row],[Top 2 Export Value]],1)="B",VALUE(LEFT(Table2[[#This Row],[Top 2 Export Value]],LEN(Table2[[#This Row],[Top 2 Export Value]])-1))*1000000000,IF(RIGHT(D152,1)="k",VALUE(LEFT(Table2[[#This Row],[Top 2 Export Value]],LEN(Table2[[#This Row],[Top 2 Export Value]])-1))*1000,Table2[[#This Row],[Top 2 Export Value]])))</f>
        <v>113000000</v>
      </c>
      <c r="J152" s="9" t="s">
        <v>30</v>
      </c>
      <c r="K152" s="9" t="s">
        <v>189</v>
      </c>
      <c r="L152" s="9" t="s">
        <v>505</v>
      </c>
      <c r="M15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105000000</v>
      </c>
      <c r="N152" s="9" t="s">
        <v>30</v>
      </c>
    </row>
    <row r="153" spans="1:14" x14ac:dyDescent="0.3">
      <c r="A153" s="9" t="s">
        <v>55</v>
      </c>
      <c r="B153" s="9">
        <v>2022</v>
      </c>
      <c r="C153" s="9" t="s">
        <v>193</v>
      </c>
      <c r="D153" s="9" t="s">
        <v>1047</v>
      </c>
      <c r="E153" s="11">
        <f t="shared" si="4"/>
        <v>955000000</v>
      </c>
      <c r="F153" s="9" t="s">
        <v>281</v>
      </c>
      <c r="G153" s="9" t="s">
        <v>75</v>
      </c>
      <c r="H153" s="9" t="s">
        <v>624</v>
      </c>
      <c r="I153" s="11">
        <f>IF(RIGHT(Table2[[#This Row],[Top 2 Export Value]],1)="M",VALUE(LEFT(Table2[[#This Row],[Top 2 Export Value]],LEN(Table2[[#This Row],[Top 2 Export Value]])-1))*1000000,IF(RIGHT(Table2[[#This Row],[Top 2 Export Value]],1)="B",VALUE(LEFT(Table2[[#This Row],[Top 2 Export Value]],LEN(Table2[[#This Row],[Top 2 Export Value]])-1))*1000000000,IF(RIGHT(D153,1)="k",VALUE(LEFT(Table2[[#This Row],[Top 2 Export Value]],LEN(Table2[[#This Row],[Top 2 Export Value]])-1))*1000,Table2[[#This Row],[Top 2 Export Value]])))</f>
        <v>138000000</v>
      </c>
      <c r="J153" s="9" t="s">
        <v>52</v>
      </c>
      <c r="K153" s="9" t="s">
        <v>194</v>
      </c>
      <c r="L153" s="9" t="s">
        <v>1048</v>
      </c>
      <c r="M15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72500000</v>
      </c>
      <c r="N153" s="9" t="s">
        <v>30</v>
      </c>
    </row>
    <row r="154" spans="1:14" x14ac:dyDescent="0.3">
      <c r="A154" s="9" t="s">
        <v>55</v>
      </c>
      <c r="B154" s="9">
        <v>2023</v>
      </c>
      <c r="C154" s="9" t="s">
        <v>193</v>
      </c>
      <c r="D154" s="9" t="s">
        <v>1049</v>
      </c>
      <c r="E154" s="11">
        <f t="shared" si="4"/>
        <v>990000000</v>
      </c>
      <c r="F154" s="9" t="s">
        <v>281</v>
      </c>
      <c r="G154" s="9" t="s">
        <v>78</v>
      </c>
      <c r="H154" s="9" t="s">
        <v>561</v>
      </c>
      <c r="I154" s="11">
        <f>IF(RIGHT(Table2[[#This Row],[Top 2 Export Value]],1)="M",VALUE(LEFT(Table2[[#This Row],[Top 2 Export Value]],LEN(Table2[[#This Row],[Top 2 Export Value]])-1))*1000000,IF(RIGHT(Table2[[#This Row],[Top 2 Export Value]],1)="B",VALUE(LEFT(Table2[[#This Row],[Top 2 Export Value]],LEN(Table2[[#This Row],[Top 2 Export Value]])-1))*1000000000,IF(RIGHT(D154,1)="k",VALUE(LEFT(Table2[[#This Row],[Top 2 Export Value]],LEN(Table2[[#This Row],[Top 2 Export Value]])-1))*1000,Table2[[#This Row],[Top 2 Export Value]])))</f>
        <v>102000000</v>
      </c>
      <c r="J154" s="9" t="s">
        <v>294</v>
      </c>
      <c r="K154" s="9" t="s">
        <v>199</v>
      </c>
      <c r="L154" s="9" t="s">
        <v>564</v>
      </c>
      <c r="M154"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89500000</v>
      </c>
      <c r="N154" s="9" t="s">
        <v>156</v>
      </c>
    </row>
    <row r="155" spans="1:14" x14ac:dyDescent="0.3">
      <c r="A155" s="9" t="s">
        <v>56</v>
      </c>
      <c r="B155" s="9">
        <v>2021</v>
      </c>
      <c r="C155" s="9" t="s">
        <v>65</v>
      </c>
      <c r="D155" s="9" t="s">
        <v>1050</v>
      </c>
      <c r="E155" s="11">
        <f t="shared" si="4"/>
        <v>389000000</v>
      </c>
      <c r="F155" s="9" t="s">
        <v>55</v>
      </c>
      <c r="G155" s="9" t="s">
        <v>189</v>
      </c>
      <c r="H155" s="9" t="s">
        <v>1051</v>
      </c>
      <c r="I155" s="11">
        <f>IF(RIGHT(Table2[[#This Row],[Top 2 Export Value]],1)="M",VALUE(LEFT(Table2[[#This Row],[Top 2 Export Value]],LEN(Table2[[#This Row],[Top 2 Export Value]])-1))*1000000,IF(RIGHT(Table2[[#This Row],[Top 2 Export Value]],1)="B",VALUE(LEFT(Table2[[#This Row],[Top 2 Export Value]],LEN(Table2[[#This Row],[Top 2 Export Value]])-1))*1000000000,IF(RIGHT(D155,1)="k",VALUE(LEFT(Table2[[#This Row],[Top 2 Export Value]],LEN(Table2[[#This Row],[Top 2 Export Value]])-1))*1000,Table2[[#This Row],[Top 2 Export Value]])))</f>
        <v>367000000</v>
      </c>
      <c r="J155" s="9" t="s">
        <v>164</v>
      </c>
      <c r="K155" s="9" t="s">
        <v>227</v>
      </c>
      <c r="L155" s="9" t="s">
        <v>1052</v>
      </c>
      <c r="M155"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291000000</v>
      </c>
      <c r="N155" s="9" t="s">
        <v>154</v>
      </c>
    </row>
    <row r="156" spans="1:14" x14ac:dyDescent="0.3">
      <c r="A156" s="9" t="s">
        <v>56</v>
      </c>
      <c r="B156" s="9">
        <v>2022</v>
      </c>
      <c r="C156" s="9" t="s">
        <v>227</v>
      </c>
      <c r="D156" s="9" t="s">
        <v>1053</v>
      </c>
      <c r="E156" s="11">
        <f t="shared" si="4"/>
        <v>343000000</v>
      </c>
      <c r="F156" s="9" t="s">
        <v>282</v>
      </c>
      <c r="G156" s="9" t="s">
        <v>193</v>
      </c>
      <c r="H156" s="9" t="s">
        <v>1054</v>
      </c>
      <c r="I156" s="11">
        <f>IF(RIGHT(Table2[[#This Row],[Top 2 Export Value]],1)="M",VALUE(LEFT(Table2[[#This Row],[Top 2 Export Value]],LEN(Table2[[#This Row],[Top 2 Export Value]])-1))*1000000,IF(RIGHT(Table2[[#This Row],[Top 2 Export Value]],1)="B",VALUE(LEFT(Table2[[#This Row],[Top 2 Export Value]],LEN(Table2[[#This Row],[Top 2 Export Value]])-1))*1000000000,IF(RIGHT(D156,1)="k",VALUE(LEFT(Table2[[#This Row],[Top 2 Export Value]],LEN(Table2[[#This Row],[Top 2 Export Value]])-1))*1000,Table2[[#This Row],[Top 2 Export Value]])))</f>
        <v>274000000</v>
      </c>
      <c r="J156" s="9" t="s">
        <v>275</v>
      </c>
      <c r="K156" s="9" t="s">
        <v>189</v>
      </c>
      <c r="L156" s="9" t="s">
        <v>503</v>
      </c>
      <c r="M156"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257000000</v>
      </c>
      <c r="N156" s="9" t="s">
        <v>164</v>
      </c>
    </row>
    <row r="157" spans="1:14" x14ac:dyDescent="0.3">
      <c r="A157" s="9" t="s">
        <v>56</v>
      </c>
      <c r="B157" s="9">
        <v>2023</v>
      </c>
      <c r="C157" s="9" t="s">
        <v>189</v>
      </c>
      <c r="D157" s="9" t="s">
        <v>1055</v>
      </c>
      <c r="E157" s="11">
        <f t="shared" si="4"/>
        <v>352000000</v>
      </c>
      <c r="F157" s="9" t="s">
        <v>164</v>
      </c>
      <c r="G157" s="9" t="s">
        <v>191</v>
      </c>
      <c r="H157" s="9" t="s">
        <v>708</v>
      </c>
      <c r="I157" s="11">
        <f>IF(RIGHT(Table2[[#This Row],[Top 2 Export Value]],1)="M",VALUE(LEFT(Table2[[#This Row],[Top 2 Export Value]],LEN(Table2[[#This Row],[Top 2 Export Value]])-1))*1000000,IF(RIGHT(Table2[[#This Row],[Top 2 Export Value]],1)="B",VALUE(LEFT(Table2[[#This Row],[Top 2 Export Value]],LEN(Table2[[#This Row],[Top 2 Export Value]])-1))*1000000000,IF(RIGHT(D157,1)="k",VALUE(LEFT(Table2[[#This Row],[Top 2 Export Value]],LEN(Table2[[#This Row],[Top 2 Export Value]])-1))*1000,Table2[[#This Row],[Top 2 Export Value]])))</f>
        <v>287000000</v>
      </c>
      <c r="J157" s="9" t="s">
        <v>129</v>
      </c>
      <c r="K157" s="9" t="s">
        <v>193</v>
      </c>
      <c r="L157" s="9" t="s">
        <v>427</v>
      </c>
      <c r="M157"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286000000</v>
      </c>
      <c r="N157" s="9" t="s">
        <v>281</v>
      </c>
    </row>
    <row r="158" spans="1:14" x14ac:dyDescent="0.3">
      <c r="A158" s="9" t="s">
        <v>57</v>
      </c>
      <c r="B158" s="9">
        <v>2021</v>
      </c>
      <c r="C158" s="9" t="s">
        <v>267</v>
      </c>
      <c r="D158" s="9" t="s">
        <v>1056</v>
      </c>
      <c r="E158" s="11">
        <f t="shared" si="4"/>
        <v>66400000.000000007</v>
      </c>
      <c r="F158" s="9" t="s">
        <v>135</v>
      </c>
      <c r="G158" s="9" t="s">
        <v>62</v>
      </c>
      <c r="H158" s="9" t="s">
        <v>1057</v>
      </c>
      <c r="I158" s="11">
        <f>IF(RIGHT(Table2[[#This Row],[Top 2 Export Value]],1)="M",VALUE(LEFT(Table2[[#This Row],[Top 2 Export Value]],LEN(Table2[[#This Row],[Top 2 Export Value]])-1))*1000000,IF(RIGHT(Table2[[#This Row],[Top 2 Export Value]],1)="B",VALUE(LEFT(Table2[[#This Row],[Top 2 Export Value]],LEN(Table2[[#This Row],[Top 2 Export Value]])-1))*1000000000,IF(RIGHT(D158,1)="k",VALUE(LEFT(Table2[[#This Row],[Top 2 Export Value]],LEN(Table2[[#This Row],[Top 2 Export Value]])-1))*1000,Table2[[#This Row],[Top 2 Export Value]])))</f>
        <v>56400000</v>
      </c>
      <c r="J158" s="9" t="s">
        <v>58</v>
      </c>
      <c r="K158" s="9" t="s">
        <v>77</v>
      </c>
      <c r="L158" s="9" t="s">
        <v>1058</v>
      </c>
      <c r="M158"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51300000</v>
      </c>
      <c r="N158" s="9" t="s">
        <v>18</v>
      </c>
    </row>
    <row r="159" spans="1:14" x14ac:dyDescent="0.3">
      <c r="A159" s="9" t="s">
        <v>57</v>
      </c>
      <c r="B159" s="9">
        <v>2022</v>
      </c>
      <c r="C159" s="9" t="s">
        <v>77</v>
      </c>
      <c r="D159" s="9" t="s">
        <v>1059</v>
      </c>
      <c r="E159" s="11">
        <f t="shared" si="4"/>
        <v>137800000</v>
      </c>
      <c r="F159" s="9" t="s">
        <v>18</v>
      </c>
      <c r="G159" s="9" t="s">
        <v>62</v>
      </c>
      <c r="H159" s="9" t="s">
        <v>1060</v>
      </c>
      <c r="I159" s="11">
        <f>IF(RIGHT(Table2[[#This Row],[Top 2 Export Value]],1)="M",VALUE(LEFT(Table2[[#This Row],[Top 2 Export Value]],LEN(Table2[[#This Row],[Top 2 Export Value]])-1))*1000000,IF(RIGHT(Table2[[#This Row],[Top 2 Export Value]],1)="B",VALUE(LEFT(Table2[[#This Row],[Top 2 Export Value]],LEN(Table2[[#This Row],[Top 2 Export Value]])-1))*1000000000,IF(RIGHT(D159,1)="k",VALUE(LEFT(Table2[[#This Row],[Top 2 Export Value]],LEN(Table2[[#This Row],[Top 2 Export Value]])-1))*1000,Table2[[#This Row],[Top 2 Export Value]])))</f>
        <v>94100000</v>
      </c>
      <c r="J159" s="9" t="s">
        <v>30</v>
      </c>
      <c r="K159" s="9" t="s">
        <v>267</v>
      </c>
      <c r="L159" s="9" t="s">
        <v>1061</v>
      </c>
      <c r="M159"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74500000</v>
      </c>
      <c r="N159" s="9" t="s">
        <v>30</v>
      </c>
    </row>
    <row r="160" spans="1:14" x14ac:dyDescent="0.3">
      <c r="A160" s="9" t="s">
        <v>57</v>
      </c>
      <c r="B160" s="9">
        <v>2023</v>
      </c>
      <c r="C160" s="9" t="s">
        <v>77</v>
      </c>
      <c r="D160" s="9" t="s">
        <v>411</v>
      </c>
      <c r="E160" s="11">
        <f t="shared" si="4"/>
        <v>104000000</v>
      </c>
      <c r="F160" s="9" t="s">
        <v>18</v>
      </c>
      <c r="G160" s="9" t="s">
        <v>75</v>
      </c>
      <c r="H160" s="9" t="s">
        <v>1062</v>
      </c>
      <c r="I160" s="11">
        <f>IF(RIGHT(Table2[[#This Row],[Top 2 Export Value]],1)="M",VALUE(LEFT(Table2[[#This Row],[Top 2 Export Value]],LEN(Table2[[#This Row],[Top 2 Export Value]])-1))*1000000,IF(RIGHT(Table2[[#This Row],[Top 2 Export Value]],1)="B",VALUE(LEFT(Table2[[#This Row],[Top 2 Export Value]],LEN(Table2[[#This Row],[Top 2 Export Value]])-1))*1000000000,IF(RIGHT(D160,1)="k",VALUE(LEFT(Table2[[#This Row],[Top 2 Export Value]],LEN(Table2[[#This Row],[Top 2 Export Value]])-1))*1000,Table2[[#This Row],[Top 2 Export Value]])))</f>
        <v>120000000</v>
      </c>
      <c r="J160" s="9" t="s">
        <v>18</v>
      </c>
      <c r="K160" s="9" t="s">
        <v>267</v>
      </c>
      <c r="L160" s="9" t="s">
        <v>1063</v>
      </c>
      <c r="M160"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94600000</v>
      </c>
      <c r="N160" s="9" t="s">
        <v>50</v>
      </c>
    </row>
    <row r="161" spans="1:14" x14ac:dyDescent="0.3">
      <c r="A161" s="9" t="s">
        <v>58</v>
      </c>
      <c r="B161" s="9">
        <v>2021</v>
      </c>
      <c r="C161" s="9" t="s">
        <v>190</v>
      </c>
      <c r="D161" s="9" t="s">
        <v>875</v>
      </c>
      <c r="E161" s="11">
        <f t="shared" si="4"/>
        <v>50800000</v>
      </c>
      <c r="F161" s="9" t="s">
        <v>155</v>
      </c>
      <c r="G161" s="9" t="s">
        <v>218</v>
      </c>
      <c r="H161" s="9" t="s">
        <v>516</v>
      </c>
      <c r="I161" s="11">
        <f>IF(RIGHT(Table2[[#This Row],[Top 2 Export Value]],1)="M",VALUE(LEFT(Table2[[#This Row],[Top 2 Export Value]],LEN(Table2[[#This Row],[Top 2 Export Value]])-1))*1000000,IF(RIGHT(Table2[[#This Row],[Top 2 Export Value]],1)="B",VALUE(LEFT(Table2[[#This Row],[Top 2 Export Value]],LEN(Table2[[#This Row],[Top 2 Export Value]])-1))*1000000000,IF(RIGHT(D161,1)="k",VALUE(LEFT(Table2[[#This Row],[Top 2 Export Value]],LEN(Table2[[#This Row],[Top 2 Export Value]])-1))*1000,Table2[[#This Row],[Top 2 Export Value]])))</f>
        <v>45600000</v>
      </c>
      <c r="J161" s="9" t="s">
        <v>50</v>
      </c>
      <c r="K161" s="9" t="s">
        <v>75</v>
      </c>
      <c r="L161" s="9" t="s">
        <v>754</v>
      </c>
      <c r="M161"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36200000</v>
      </c>
      <c r="N161" s="9" t="s">
        <v>30</v>
      </c>
    </row>
    <row r="162" spans="1:14" x14ac:dyDescent="0.3">
      <c r="A162" s="9" t="s">
        <v>58</v>
      </c>
      <c r="B162" s="9">
        <v>2022</v>
      </c>
      <c r="C162" s="9" t="s">
        <v>190</v>
      </c>
      <c r="D162" s="9" t="s">
        <v>546</v>
      </c>
      <c r="E162" s="11">
        <f t="shared" ref="E162:E163" si="5">IF(RIGHT(D162,1)="M",VALUE(LEFT(D162,LEN(D162)-1))*1000000,IF(RIGHT(D162,1)="B",VALUE(LEFT(D162,LEN(D162)-1))*1000000000,IF(RIGHT(D162,1)="K",VALUE(LEFT(D162,LEN(D162)-1))*1000,D162)))</f>
        <v>115000000</v>
      </c>
      <c r="F162" s="9" t="s">
        <v>31</v>
      </c>
      <c r="G162" s="9" t="s">
        <v>218</v>
      </c>
      <c r="H162" s="9" t="s">
        <v>603</v>
      </c>
      <c r="I162" s="11">
        <f>IF(RIGHT(Table2[[#This Row],[Top 2 Export Value]],1)="M",VALUE(LEFT(Table2[[#This Row],[Top 2 Export Value]],LEN(Table2[[#This Row],[Top 2 Export Value]])-1))*1000000,IF(RIGHT(Table2[[#This Row],[Top 2 Export Value]],1)="B",VALUE(LEFT(Table2[[#This Row],[Top 2 Export Value]],LEN(Table2[[#This Row],[Top 2 Export Value]])-1))*1000000000,IF(RIGHT(D162,1)="k",VALUE(LEFT(Table2[[#This Row],[Top 2 Export Value]],LEN(Table2[[#This Row],[Top 2 Export Value]])-1))*1000,Table2[[#This Row],[Top 2 Export Value]])))</f>
        <v>44600000</v>
      </c>
      <c r="J162" s="9" t="s">
        <v>170</v>
      </c>
      <c r="K162" s="9" t="s">
        <v>75</v>
      </c>
      <c r="L162" s="9" t="s">
        <v>489</v>
      </c>
      <c r="M162"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40300000</v>
      </c>
      <c r="N162" s="9" t="s">
        <v>40</v>
      </c>
    </row>
    <row r="163" spans="1:14" x14ac:dyDescent="0.3">
      <c r="A163" s="9" t="s">
        <v>58</v>
      </c>
      <c r="B163" s="9">
        <v>2023</v>
      </c>
      <c r="C163" s="9" t="s">
        <v>75</v>
      </c>
      <c r="D163" s="9" t="s">
        <v>1064</v>
      </c>
      <c r="E163" s="11">
        <f t="shared" si="5"/>
        <v>87300000</v>
      </c>
      <c r="F163" s="9" t="s">
        <v>40</v>
      </c>
      <c r="G163" s="9" t="s">
        <v>218</v>
      </c>
      <c r="H163" s="9" t="s">
        <v>1065</v>
      </c>
      <c r="I163" s="11">
        <f>IF(RIGHT(Table2[[#This Row],[Top 2 Export Value]],1)="M",VALUE(LEFT(Table2[[#This Row],[Top 2 Export Value]],LEN(Table2[[#This Row],[Top 2 Export Value]])-1))*1000000,IF(RIGHT(Table2[[#This Row],[Top 2 Export Value]],1)="B",VALUE(LEFT(Table2[[#This Row],[Top 2 Export Value]],LEN(Table2[[#This Row],[Top 2 Export Value]])-1))*1000000000,IF(RIGHT(D163,1)="k",VALUE(LEFT(Table2[[#This Row],[Top 2 Export Value]],LEN(Table2[[#This Row],[Top 2 Export Value]])-1))*1000,Table2[[#This Row],[Top 2 Export Value]])))</f>
        <v>45800000</v>
      </c>
      <c r="J163" s="9" t="s">
        <v>137</v>
      </c>
      <c r="K163" s="9" t="s">
        <v>268</v>
      </c>
      <c r="L163" s="9" t="s">
        <v>1066</v>
      </c>
      <c r="M163" s="11">
        <f>IF(RIGHT(Table2[[#This Row],[Top 3 Export Value]],1)="M",VALUE(LEFT(Table2[[#This Row],[Top 3 Export Value]],LEN(Table2[[#This Row],[Top 3 Export Value]])-1))*1000000,IF(RIGHT(Table2[[#This Row],[Top 3 Export Value]],1)="B",VALUE(LEFT(Table2[[#This Row],[Top 3 Export Value]],LEN(Table2[[#This Row],[Top 3 Export Value]])-1))*1000000000,IF(RIGHT(Table2[[#This Row],[Top 3 Export Value]],1)="K",VALUE(LEFT(Table2[[#This Row],[Top 3 Export Value]],LEN(Table2[[#This Row],[Top 3 Export Value]])-1))*1000,Table2[[#This Row],[Top 3 Export Value]])))</f>
        <v>30700000</v>
      </c>
      <c r="N163" s="9" t="s">
        <v>294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7"/>
  <sheetViews>
    <sheetView topLeftCell="A457" workbookViewId="0">
      <selection activeCell="I13" sqref="I13"/>
    </sheetView>
  </sheetViews>
  <sheetFormatPr defaultRowHeight="14.4" x14ac:dyDescent="0.3"/>
  <cols>
    <col min="1" max="1" width="31.5546875" bestFit="1" customWidth="1"/>
    <col min="2" max="2" width="9.5546875" bestFit="1" customWidth="1"/>
    <col min="3" max="3" width="31.33203125" bestFit="1" customWidth="1"/>
    <col min="4" max="4" width="16.88671875" style="3" bestFit="1" customWidth="1"/>
    <col min="5" max="5" width="23.6640625" bestFit="1" customWidth="1"/>
    <col min="6" max="6" width="9.6640625" bestFit="1" customWidth="1"/>
  </cols>
  <sheetData>
    <row r="1" spans="1:6" x14ac:dyDescent="0.3">
      <c r="A1" s="4" t="s">
        <v>0</v>
      </c>
      <c r="B1" s="4" t="s">
        <v>1</v>
      </c>
      <c r="C1" s="4" t="s">
        <v>2</v>
      </c>
      <c r="D1" s="12" t="s">
        <v>299</v>
      </c>
      <c r="E1" s="4" t="s">
        <v>1074</v>
      </c>
      <c r="F1" s="4" t="s">
        <v>3</v>
      </c>
    </row>
    <row r="2" spans="1:6" x14ac:dyDescent="0.3">
      <c r="A2" t="s">
        <v>4</v>
      </c>
      <c r="B2">
        <v>2021</v>
      </c>
      <c r="C2" t="s">
        <v>59</v>
      </c>
      <c r="D2" s="3">
        <v>2200000000</v>
      </c>
      <c r="E2" t="s">
        <v>119</v>
      </c>
      <c r="F2">
        <v>1</v>
      </c>
    </row>
    <row r="3" spans="1:6" x14ac:dyDescent="0.3">
      <c r="A3" t="s">
        <v>4</v>
      </c>
      <c r="B3">
        <v>2021</v>
      </c>
      <c r="C3" t="s">
        <v>60</v>
      </c>
      <c r="D3" s="3">
        <v>1160000000</v>
      </c>
      <c r="E3" t="s">
        <v>120</v>
      </c>
      <c r="F3">
        <v>2</v>
      </c>
    </row>
    <row r="4" spans="1:6" x14ac:dyDescent="0.3">
      <c r="A4" t="s">
        <v>4</v>
      </c>
      <c r="B4">
        <v>2021</v>
      </c>
      <c r="C4" t="s">
        <v>61</v>
      </c>
      <c r="D4" s="3">
        <v>827000000</v>
      </c>
      <c r="E4" t="s">
        <v>121</v>
      </c>
      <c r="F4">
        <v>3</v>
      </c>
    </row>
    <row r="5" spans="1:6" x14ac:dyDescent="0.3">
      <c r="A5" t="s">
        <v>4</v>
      </c>
      <c r="B5">
        <v>2022</v>
      </c>
      <c r="C5" t="s">
        <v>59</v>
      </c>
      <c r="D5" s="3">
        <v>2660000000</v>
      </c>
      <c r="E5" t="s">
        <v>119</v>
      </c>
      <c r="F5">
        <v>1</v>
      </c>
    </row>
    <row r="6" spans="1:6" x14ac:dyDescent="0.3">
      <c r="A6" t="s">
        <v>4</v>
      </c>
      <c r="B6">
        <v>2022</v>
      </c>
      <c r="C6" t="s">
        <v>60</v>
      </c>
      <c r="D6" s="3">
        <v>1620000000</v>
      </c>
      <c r="E6" t="s">
        <v>120</v>
      </c>
      <c r="F6">
        <v>2</v>
      </c>
    </row>
    <row r="7" spans="1:6" x14ac:dyDescent="0.3">
      <c r="A7" t="s">
        <v>4</v>
      </c>
      <c r="B7">
        <v>2022</v>
      </c>
      <c r="C7" t="s">
        <v>62</v>
      </c>
      <c r="D7" s="3">
        <v>988000000</v>
      </c>
      <c r="E7" t="s">
        <v>120</v>
      </c>
      <c r="F7">
        <v>3</v>
      </c>
    </row>
    <row r="8" spans="1:6" x14ac:dyDescent="0.3">
      <c r="A8" t="s">
        <v>5</v>
      </c>
      <c r="B8">
        <v>2023</v>
      </c>
      <c r="C8" t="s">
        <v>59</v>
      </c>
      <c r="D8" s="3">
        <v>1830000000</v>
      </c>
      <c r="E8" t="s">
        <v>122</v>
      </c>
      <c r="F8">
        <v>1</v>
      </c>
    </row>
    <row r="9" spans="1:6" x14ac:dyDescent="0.3">
      <c r="A9" t="s">
        <v>5</v>
      </c>
      <c r="B9">
        <v>2023</v>
      </c>
      <c r="C9" t="s">
        <v>60</v>
      </c>
      <c r="D9" s="3">
        <v>1310000000</v>
      </c>
      <c r="E9" t="s">
        <v>123</v>
      </c>
      <c r="F9">
        <v>2</v>
      </c>
    </row>
    <row r="10" spans="1:6" x14ac:dyDescent="0.3">
      <c r="A10" t="s">
        <v>5</v>
      </c>
      <c r="B10">
        <v>2023</v>
      </c>
      <c r="C10" t="s">
        <v>62</v>
      </c>
      <c r="D10" s="3">
        <v>1070000000</v>
      </c>
      <c r="E10" t="s">
        <v>120</v>
      </c>
      <c r="F10">
        <v>3</v>
      </c>
    </row>
    <row r="11" spans="1:6" x14ac:dyDescent="0.3">
      <c r="A11" t="s">
        <v>6</v>
      </c>
      <c r="B11">
        <v>2021</v>
      </c>
      <c r="C11" t="s">
        <v>63</v>
      </c>
      <c r="D11" s="3">
        <v>349000000</v>
      </c>
      <c r="E11" t="s">
        <v>124</v>
      </c>
      <c r="F11">
        <v>1</v>
      </c>
    </row>
    <row r="12" spans="1:6" x14ac:dyDescent="0.3">
      <c r="A12" t="s">
        <v>6</v>
      </c>
      <c r="B12">
        <v>2021</v>
      </c>
      <c r="C12" t="s">
        <v>64</v>
      </c>
      <c r="D12" s="3">
        <v>244000000</v>
      </c>
      <c r="E12" t="s">
        <v>125</v>
      </c>
      <c r="F12">
        <v>2</v>
      </c>
    </row>
    <row r="13" spans="1:6" x14ac:dyDescent="0.3">
      <c r="A13" t="s">
        <v>6</v>
      </c>
      <c r="B13">
        <v>2021</v>
      </c>
      <c r="C13" t="s">
        <v>65</v>
      </c>
      <c r="D13" s="3">
        <v>242000000</v>
      </c>
      <c r="E13" t="s">
        <v>126</v>
      </c>
      <c r="F13">
        <v>3</v>
      </c>
    </row>
    <row r="14" spans="1:6" x14ac:dyDescent="0.3">
      <c r="A14" t="s">
        <v>6</v>
      </c>
      <c r="B14">
        <v>2022</v>
      </c>
      <c r="C14" t="s">
        <v>63</v>
      </c>
      <c r="D14" s="3">
        <v>594000000</v>
      </c>
      <c r="E14" t="s">
        <v>124</v>
      </c>
      <c r="F14">
        <v>1</v>
      </c>
    </row>
    <row r="15" spans="1:6" x14ac:dyDescent="0.3">
      <c r="A15" t="s">
        <v>6</v>
      </c>
      <c r="B15">
        <v>2022</v>
      </c>
      <c r="C15" t="s">
        <v>64</v>
      </c>
      <c r="D15" s="3">
        <v>414000000</v>
      </c>
      <c r="E15" t="s">
        <v>125</v>
      </c>
      <c r="F15">
        <v>2</v>
      </c>
    </row>
    <row r="16" spans="1:6" x14ac:dyDescent="0.3">
      <c r="A16" t="s">
        <v>6</v>
      </c>
      <c r="B16">
        <v>2022</v>
      </c>
      <c r="C16" t="s">
        <v>65</v>
      </c>
      <c r="D16" s="3">
        <v>362000000</v>
      </c>
      <c r="E16" t="s">
        <v>126</v>
      </c>
      <c r="F16">
        <v>3</v>
      </c>
    </row>
    <row r="17" spans="1:6" x14ac:dyDescent="0.3">
      <c r="A17" t="s">
        <v>6</v>
      </c>
      <c r="B17">
        <v>2023</v>
      </c>
      <c r="C17" t="s">
        <v>59</v>
      </c>
      <c r="D17" s="3">
        <v>606000000</v>
      </c>
      <c r="E17" t="s">
        <v>119</v>
      </c>
      <c r="F17">
        <v>1</v>
      </c>
    </row>
    <row r="18" spans="1:6" x14ac:dyDescent="0.3">
      <c r="A18" t="s">
        <v>6</v>
      </c>
      <c r="B18">
        <v>2023</v>
      </c>
      <c r="C18" t="s">
        <v>64</v>
      </c>
      <c r="D18" s="3">
        <v>260000000</v>
      </c>
      <c r="E18" t="s">
        <v>126</v>
      </c>
      <c r="F18">
        <v>2</v>
      </c>
    </row>
    <row r="19" spans="1:6" x14ac:dyDescent="0.3">
      <c r="A19" t="s">
        <v>6</v>
      </c>
      <c r="B19">
        <v>2023</v>
      </c>
      <c r="C19" t="s">
        <v>65</v>
      </c>
      <c r="D19" s="3">
        <v>229000000</v>
      </c>
      <c r="E19" t="s">
        <v>125</v>
      </c>
      <c r="F19">
        <v>3</v>
      </c>
    </row>
    <row r="20" spans="1:6" x14ac:dyDescent="0.3">
      <c r="A20" t="s">
        <v>7</v>
      </c>
      <c r="B20">
        <v>2021</v>
      </c>
      <c r="C20" t="s">
        <v>66</v>
      </c>
      <c r="D20" s="3">
        <v>264000000</v>
      </c>
      <c r="E20" t="s">
        <v>126</v>
      </c>
      <c r="F20">
        <v>1</v>
      </c>
    </row>
    <row r="21" spans="1:6" x14ac:dyDescent="0.3">
      <c r="A21" t="s">
        <v>7</v>
      </c>
      <c r="B21">
        <v>2021</v>
      </c>
      <c r="C21" t="s">
        <v>67</v>
      </c>
      <c r="D21" s="3">
        <v>155000000</v>
      </c>
      <c r="E21" t="s">
        <v>127</v>
      </c>
      <c r="F21">
        <v>2</v>
      </c>
    </row>
    <row r="22" spans="1:6" x14ac:dyDescent="0.3">
      <c r="A22" t="s">
        <v>7</v>
      </c>
      <c r="B22">
        <v>2021</v>
      </c>
      <c r="C22" t="s">
        <v>68</v>
      </c>
      <c r="D22" s="3">
        <v>39200000</v>
      </c>
      <c r="E22" t="s">
        <v>128</v>
      </c>
      <c r="F22">
        <v>3</v>
      </c>
    </row>
    <row r="23" spans="1:6" x14ac:dyDescent="0.3">
      <c r="A23" t="s">
        <v>7</v>
      </c>
      <c r="B23">
        <v>2022</v>
      </c>
      <c r="C23" t="s">
        <v>69</v>
      </c>
      <c r="D23" s="3">
        <v>292000000</v>
      </c>
      <c r="E23" t="s">
        <v>129</v>
      </c>
      <c r="F23">
        <v>1</v>
      </c>
    </row>
    <row r="24" spans="1:6" x14ac:dyDescent="0.3">
      <c r="A24" t="s">
        <v>7</v>
      </c>
      <c r="B24">
        <v>2022</v>
      </c>
      <c r="C24" t="s">
        <v>70</v>
      </c>
      <c r="D24" s="3">
        <v>266000000</v>
      </c>
      <c r="E24" t="s">
        <v>126</v>
      </c>
      <c r="F24">
        <v>2</v>
      </c>
    </row>
    <row r="25" spans="1:6" x14ac:dyDescent="0.3">
      <c r="A25" t="s">
        <v>7</v>
      </c>
      <c r="B25">
        <v>2022</v>
      </c>
      <c r="C25" t="s">
        <v>71</v>
      </c>
      <c r="D25" s="3">
        <v>31500000</v>
      </c>
      <c r="E25" t="s">
        <v>126</v>
      </c>
      <c r="F25">
        <v>3</v>
      </c>
    </row>
    <row r="26" spans="1:6" x14ac:dyDescent="0.3">
      <c r="A26" t="s">
        <v>7</v>
      </c>
      <c r="B26">
        <v>2023</v>
      </c>
      <c r="C26" t="s">
        <v>72</v>
      </c>
      <c r="D26" s="3">
        <v>142000000</v>
      </c>
      <c r="E26" t="s">
        <v>126</v>
      </c>
      <c r="F26">
        <v>1</v>
      </c>
    </row>
    <row r="27" spans="1:6" x14ac:dyDescent="0.3">
      <c r="A27" t="s">
        <v>7</v>
      </c>
      <c r="B27">
        <v>2023</v>
      </c>
      <c r="C27" t="s">
        <v>73</v>
      </c>
      <c r="D27" s="3">
        <v>25500000</v>
      </c>
      <c r="E27" t="s">
        <v>130</v>
      </c>
      <c r="F27">
        <v>2</v>
      </c>
    </row>
    <row r="28" spans="1:6" x14ac:dyDescent="0.3">
      <c r="A28" t="s">
        <v>7</v>
      </c>
      <c r="B28">
        <v>2023</v>
      </c>
      <c r="C28" t="s">
        <v>74</v>
      </c>
      <c r="D28" s="3">
        <v>1750000</v>
      </c>
      <c r="E28" t="s">
        <v>27</v>
      </c>
      <c r="F28">
        <v>3</v>
      </c>
    </row>
    <row r="29" spans="1:6" x14ac:dyDescent="0.3">
      <c r="A29" t="s">
        <v>8</v>
      </c>
      <c r="B29">
        <v>2021</v>
      </c>
      <c r="C29" t="s">
        <v>62</v>
      </c>
      <c r="D29" s="3">
        <v>64900000.000000007</v>
      </c>
      <c r="E29" t="s">
        <v>50</v>
      </c>
      <c r="F29">
        <v>1</v>
      </c>
    </row>
    <row r="30" spans="1:6" x14ac:dyDescent="0.3">
      <c r="A30" t="s">
        <v>8</v>
      </c>
      <c r="B30">
        <v>2021</v>
      </c>
      <c r="C30" t="s">
        <v>75</v>
      </c>
      <c r="D30" s="3">
        <v>60200000</v>
      </c>
      <c r="E30" t="s">
        <v>50</v>
      </c>
      <c r="F30">
        <v>2</v>
      </c>
    </row>
    <row r="31" spans="1:6" x14ac:dyDescent="0.3">
      <c r="A31" t="s">
        <v>8</v>
      </c>
      <c r="B31">
        <v>2021</v>
      </c>
      <c r="C31" t="s">
        <v>76</v>
      </c>
      <c r="D31" s="3">
        <v>56100000</v>
      </c>
      <c r="E31" t="s">
        <v>131</v>
      </c>
      <c r="F31">
        <v>3</v>
      </c>
    </row>
    <row r="32" spans="1:6" x14ac:dyDescent="0.3">
      <c r="A32" t="s">
        <v>8</v>
      </c>
      <c r="B32">
        <v>2022</v>
      </c>
      <c r="C32" t="s">
        <v>75</v>
      </c>
      <c r="D32" s="3">
        <v>145000000</v>
      </c>
      <c r="E32" t="s">
        <v>50</v>
      </c>
      <c r="F32">
        <v>1</v>
      </c>
    </row>
    <row r="33" spans="1:6" x14ac:dyDescent="0.3">
      <c r="A33" t="s">
        <v>8</v>
      </c>
      <c r="B33">
        <v>2022</v>
      </c>
      <c r="C33" t="s">
        <v>62</v>
      </c>
      <c r="D33" s="3">
        <v>66200000</v>
      </c>
      <c r="E33" t="s">
        <v>50</v>
      </c>
      <c r="F33">
        <v>2</v>
      </c>
    </row>
    <row r="34" spans="1:6" x14ac:dyDescent="0.3">
      <c r="A34" t="s">
        <v>8</v>
      </c>
      <c r="B34">
        <v>2022</v>
      </c>
      <c r="C34" t="s">
        <v>65</v>
      </c>
      <c r="D34" s="3">
        <v>40100000</v>
      </c>
      <c r="E34" t="s">
        <v>50</v>
      </c>
      <c r="F34">
        <v>3</v>
      </c>
    </row>
    <row r="35" spans="1:6" x14ac:dyDescent="0.3">
      <c r="A35" t="s">
        <v>8</v>
      </c>
      <c r="B35">
        <v>2023</v>
      </c>
      <c r="C35" t="s">
        <v>77</v>
      </c>
      <c r="D35" s="3">
        <v>158000000</v>
      </c>
      <c r="E35" t="s">
        <v>50</v>
      </c>
      <c r="F35">
        <v>1</v>
      </c>
    </row>
    <row r="36" spans="1:6" x14ac:dyDescent="0.3">
      <c r="A36" t="s">
        <v>8</v>
      </c>
      <c r="B36">
        <v>2023</v>
      </c>
      <c r="C36" t="s">
        <v>75</v>
      </c>
      <c r="D36" s="3">
        <v>63200000</v>
      </c>
      <c r="E36" t="s">
        <v>50</v>
      </c>
      <c r="F36">
        <v>2</v>
      </c>
    </row>
    <row r="37" spans="1:6" x14ac:dyDescent="0.3">
      <c r="A37" t="s">
        <v>8</v>
      </c>
      <c r="B37">
        <v>2023</v>
      </c>
      <c r="C37" t="s">
        <v>62</v>
      </c>
      <c r="D37" s="3">
        <v>53600000</v>
      </c>
      <c r="E37" t="s">
        <v>50</v>
      </c>
      <c r="F37">
        <v>3</v>
      </c>
    </row>
    <row r="38" spans="1:6" x14ac:dyDescent="0.3">
      <c r="A38" t="s">
        <v>9</v>
      </c>
      <c r="B38">
        <v>2021</v>
      </c>
      <c r="C38" t="s">
        <v>65</v>
      </c>
      <c r="D38" s="3">
        <v>90800000</v>
      </c>
      <c r="E38" t="s">
        <v>126</v>
      </c>
      <c r="F38">
        <v>1</v>
      </c>
    </row>
    <row r="39" spans="1:6" x14ac:dyDescent="0.3">
      <c r="A39" t="s">
        <v>9</v>
      </c>
      <c r="B39">
        <v>2021</v>
      </c>
      <c r="C39" t="s">
        <v>78</v>
      </c>
      <c r="D39" s="3">
        <v>69000000</v>
      </c>
      <c r="E39" t="s">
        <v>132</v>
      </c>
      <c r="F39">
        <v>2</v>
      </c>
    </row>
    <row r="40" spans="1:6" x14ac:dyDescent="0.3">
      <c r="A40" t="s">
        <v>9</v>
      </c>
      <c r="B40">
        <v>2021</v>
      </c>
      <c r="C40" t="s">
        <v>59</v>
      </c>
      <c r="D40" s="3">
        <v>60800000</v>
      </c>
      <c r="E40" t="s">
        <v>119</v>
      </c>
      <c r="F40">
        <v>3</v>
      </c>
    </row>
    <row r="41" spans="1:6" x14ac:dyDescent="0.3">
      <c r="A41" t="s">
        <v>9</v>
      </c>
      <c r="B41">
        <v>2022</v>
      </c>
      <c r="C41" t="s">
        <v>65</v>
      </c>
      <c r="D41" s="3">
        <v>151000000</v>
      </c>
      <c r="E41" t="s">
        <v>126</v>
      </c>
      <c r="F41">
        <v>1</v>
      </c>
    </row>
    <row r="42" spans="1:6" x14ac:dyDescent="0.3">
      <c r="A42" t="s">
        <v>9</v>
      </c>
      <c r="B42">
        <v>2022</v>
      </c>
      <c r="C42" t="s">
        <v>59</v>
      </c>
      <c r="D42" s="3">
        <v>87900000</v>
      </c>
      <c r="E42" t="s">
        <v>119</v>
      </c>
      <c r="F42">
        <v>2</v>
      </c>
    </row>
    <row r="43" spans="1:6" x14ac:dyDescent="0.3">
      <c r="A43" t="s">
        <v>9</v>
      </c>
      <c r="B43">
        <v>2022</v>
      </c>
      <c r="C43" t="s">
        <v>75</v>
      </c>
      <c r="D43" s="3">
        <v>42200000</v>
      </c>
      <c r="E43" t="s">
        <v>131</v>
      </c>
      <c r="F43">
        <v>3</v>
      </c>
    </row>
    <row r="44" spans="1:6" x14ac:dyDescent="0.3">
      <c r="A44" t="s">
        <v>9</v>
      </c>
      <c r="B44">
        <v>2023</v>
      </c>
      <c r="C44" t="s">
        <v>68</v>
      </c>
      <c r="D44" s="3">
        <v>184000000</v>
      </c>
      <c r="E44" t="s">
        <v>133</v>
      </c>
      <c r="F44">
        <v>1</v>
      </c>
    </row>
    <row r="45" spans="1:6" x14ac:dyDescent="0.3">
      <c r="A45" t="s">
        <v>9</v>
      </c>
      <c r="B45">
        <v>2023</v>
      </c>
      <c r="C45" t="s">
        <v>70</v>
      </c>
      <c r="D45" s="3">
        <v>154000000</v>
      </c>
      <c r="E45" t="s">
        <v>126</v>
      </c>
      <c r="F45">
        <v>2</v>
      </c>
    </row>
    <row r="46" spans="1:6" x14ac:dyDescent="0.3">
      <c r="A46" t="s">
        <v>9</v>
      </c>
      <c r="B46">
        <v>2023</v>
      </c>
      <c r="C46" t="s">
        <v>67</v>
      </c>
      <c r="D46" s="3">
        <v>80000000</v>
      </c>
      <c r="E46" t="s">
        <v>53</v>
      </c>
      <c r="F46">
        <v>3</v>
      </c>
    </row>
    <row r="47" spans="1:6" x14ac:dyDescent="0.3">
      <c r="A47" t="s">
        <v>10</v>
      </c>
      <c r="B47">
        <v>2021</v>
      </c>
      <c r="C47" t="s">
        <v>59</v>
      </c>
      <c r="D47" s="3">
        <v>23700000</v>
      </c>
      <c r="E47" t="s">
        <v>134</v>
      </c>
      <c r="F47">
        <v>1</v>
      </c>
    </row>
    <row r="48" spans="1:6" x14ac:dyDescent="0.3">
      <c r="A48" t="s">
        <v>10</v>
      </c>
      <c r="B48">
        <v>2021</v>
      </c>
      <c r="C48" t="s">
        <v>75</v>
      </c>
      <c r="D48" s="3">
        <v>20500000</v>
      </c>
      <c r="E48" t="s">
        <v>35</v>
      </c>
      <c r="F48">
        <v>2</v>
      </c>
    </row>
    <row r="49" spans="1:6" x14ac:dyDescent="0.3">
      <c r="A49" t="s">
        <v>10</v>
      </c>
      <c r="B49">
        <v>2021</v>
      </c>
      <c r="C49" t="s">
        <v>65</v>
      </c>
      <c r="D49" s="3">
        <v>12600000</v>
      </c>
      <c r="E49" t="s">
        <v>135</v>
      </c>
      <c r="F49">
        <v>3</v>
      </c>
    </row>
    <row r="50" spans="1:6" x14ac:dyDescent="0.3">
      <c r="A50" t="s">
        <v>10</v>
      </c>
      <c r="B50">
        <v>2022</v>
      </c>
      <c r="C50" t="s">
        <v>59</v>
      </c>
      <c r="D50" s="3">
        <v>26300000</v>
      </c>
      <c r="E50" t="s">
        <v>120</v>
      </c>
      <c r="F50">
        <v>1</v>
      </c>
    </row>
    <row r="51" spans="1:6" x14ac:dyDescent="0.3">
      <c r="A51" t="s">
        <v>10</v>
      </c>
      <c r="B51">
        <v>2022</v>
      </c>
      <c r="C51" t="s">
        <v>65</v>
      </c>
      <c r="D51" s="3">
        <v>17400000</v>
      </c>
      <c r="E51" t="s">
        <v>135</v>
      </c>
      <c r="F51">
        <v>2</v>
      </c>
    </row>
    <row r="52" spans="1:6" x14ac:dyDescent="0.3">
      <c r="A52" t="s">
        <v>10</v>
      </c>
      <c r="B52">
        <v>2022</v>
      </c>
      <c r="C52" t="s">
        <v>79</v>
      </c>
      <c r="D52" s="3">
        <v>10700000</v>
      </c>
      <c r="E52" t="s">
        <v>136</v>
      </c>
      <c r="F52">
        <v>3</v>
      </c>
    </row>
    <row r="53" spans="1:6" x14ac:dyDescent="0.3">
      <c r="A53" t="s">
        <v>10</v>
      </c>
      <c r="B53">
        <v>2023</v>
      </c>
      <c r="C53" t="s">
        <v>80</v>
      </c>
      <c r="D53" s="3">
        <v>8189999.9999999991</v>
      </c>
      <c r="E53" t="s">
        <v>134</v>
      </c>
      <c r="F53">
        <v>1</v>
      </c>
    </row>
    <row r="54" spans="1:6" x14ac:dyDescent="0.3">
      <c r="A54" t="s">
        <v>10</v>
      </c>
      <c r="B54">
        <v>2023</v>
      </c>
      <c r="C54" t="s">
        <v>62</v>
      </c>
      <c r="D54" s="3">
        <v>7730000</v>
      </c>
      <c r="E54" t="s">
        <v>57</v>
      </c>
      <c r="F54">
        <v>2</v>
      </c>
    </row>
    <row r="55" spans="1:6" x14ac:dyDescent="0.3">
      <c r="A55" t="s">
        <v>10</v>
      </c>
      <c r="B55">
        <v>2023</v>
      </c>
      <c r="C55" t="s">
        <v>75</v>
      </c>
      <c r="D55" s="3">
        <v>6820000</v>
      </c>
      <c r="E55" t="s">
        <v>57</v>
      </c>
      <c r="F55">
        <v>3</v>
      </c>
    </row>
    <row r="56" spans="1:6" x14ac:dyDescent="0.3">
      <c r="A56" t="s">
        <v>11</v>
      </c>
      <c r="B56">
        <v>2021</v>
      </c>
      <c r="C56" t="s">
        <v>65</v>
      </c>
      <c r="D56" s="3">
        <v>22100000</v>
      </c>
      <c r="E56" t="s">
        <v>131</v>
      </c>
      <c r="F56">
        <v>1</v>
      </c>
    </row>
    <row r="57" spans="1:6" x14ac:dyDescent="0.3">
      <c r="A57" t="s">
        <v>11</v>
      </c>
      <c r="B57">
        <v>2021</v>
      </c>
      <c r="C57" t="s">
        <v>64</v>
      </c>
      <c r="D57" s="3">
        <v>15200000</v>
      </c>
      <c r="E57" t="s">
        <v>137</v>
      </c>
      <c r="F57">
        <v>2</v>
      </c>
    </row>
    <row r="58" spans="1:6" x14ac:dyDescent="0.3">
      <c r="A58" t="s">
        <v>11</v>
      </c>
      <c r="B58">
        <v>2021</v>
      </c>
      <c r="C58" t="s">
        <v>60</v>
      </c>
      <c r="D58" s="3">
        <v>14800000</v>
      </c>
      <c r="E58" t="s">
        <v>136</v>
      </c>
      <c r="F58">
        <v>3</v>
      </c>
    </row>
    <row r="59" spans="1:6" x14ac:dyDescent="0.3">
      <c r="A59" t="s">
        <v>11</v>
      </c>
      <c r="B59">
        <v>2022</v>
      </c>
      <c r="C59" t="s">
        <v>65</v>
      </c>
      <c r="D59" s="3">
        <v>30300000</v>
      </c>
      <c r="E59" t="s">
        <v>131</v>
      </c>
      <c r="F59">
        <v>1</v>
      </c>
    </row>
    <row r="60" spans="1:6" x14ac:dyDescent="0.3">
      <c r="A60" t="s">
        <v>11</v>
      </c>
      <c r="B60">
        <v>2022</v>
      </c>
      <c r="C60" t="s">
        <v>78</v>
      </c>
      <c r="D60" s="3">
        <v>20200000</v>
      </c>
      <c r="E60" t="s">
        <v>131</v>
      </c>
      <c r="F60">
        <v>2</v>
      </c>
    </row>
    <row r="61" spans="1:6" x14ac:dyDescent="0.3">
      <c r="A61" t="s">
        <v>11</v>
      </c>
      <c r="B61">
        <v>2022</v>
      </c>
      <c r="C61" t="s">
        <v>64</v>
      </c>
      <c r="D61" s="3">
        <v>19900000</v>
      </c>
      <c r="E61" t="s">
        <v>138</v>
      </c>
      <c r="F61">
        <v>3</v>
      </c>
    </row>
    <row r="62" spans="1:6" x14ac:dyDescent="0.3">
      <c r="A62" t="s">
        <v>11</v>
      </c>
      <c r="B62">
        <v>2023</v>
      </c>
      <c r="C62" t="s">
        <v>65</v>
      </c>
      <c r="D62" s="3">
        <v>26600000</v>
      </c>
      <c r="E62" t="s">
        <v>139</v>
      </c>
      <c r="F62">
        <v>1</v>
      </c>
    </row>
    <row r="63" spans="1:6" x14ac:dyDescent="0.3">
      <c r="A63" t="s">
        <v>11</v>
      </c>
      <c r="B63">
        <v>2023</v>
      </c>
      <c r="C63" t="s">
        <v>64</v>
      </c>
      <c r="D63" s="3">
        <v>18100000</v>
      </c>
      <c r="E63" t="s">
        <v>137</v>
      </c>
      <c r="F63">
        <v>2</v>
      </c>
    </row>
    <row r="64" spans="1:6" x14ac:dyDescent="0.3">
      <c r="A64" t="s">
        <v>11</v>
      </c>
      <c r="B64">
        <v>2023</v>
      </c>
      <c r="C64" t="s">
        <v>62</v>
      </c>
      <c r="D64" s="3">
        <v>13900000</v>
      </c>
      <c r="E64" t="s">
        <v>120</v>
      </c>
      <c r="F64">
        <v>3</v>
      </c>
    </row>
    <row r="65" spans="1:6" x14ac:dyDescent="0.3">
      <c r="A65" t="s">
        <v>12</v>
      </c>
      <c r="B65">
        <v>2021</v>
      </c>
      <c r="C65" t="s">
        <v>65</v>
      </c>
      <c r="D65" s="3">
        <v>362000000</v>
      </c>
      <c r="E65" t="s">
        <v>126</v>
      </c>
      <c r="F65">
        <v>1</v>
      </c>
    </row>
    <row r="66" spans="1:6" x14ac:dyDescent="0.3">
      <c r="A66" t="s">
        <v>12</v>
      </c>
      <c r="B66">
        <v>2021</v>
      </c>
      <c r="C66" t="s">
        <v>59</v>
      </c>
      <c r="D66" s="3">
        <v>299000000</v>
      </c>
      <c r="E66" t="s">
        <v>121</v>
      </c>
      <c r="F66">
        <v>2</v>
      </c>
    </row>
    <row r="67" spans="1:6" x14ac:dyDescent="0.3">
      <c r="A67" t="s">
        <v>12</v>
      </c>
      <c r="B67">
        <v>2021</v>
      </c>
      <c r="C67" t="s">
        <v>78</v>
      </c>
      <c r="D67" s="3">
        <v>250000000</v>
      </c>
      <c r="E67" t="s">
        <v>37</v>
      </c>
      <c r="F67">
        <v>3</v>
      </c>
    </row>
    <row r="68" spans="1:6" x14ac:dyDescent="0.3">
      <c r="A68" t="s">
        <v>12</v>
      </c>
      <c r="B68">
        <v>2022</v>
      </c>
      <c r="C68" t="s">
        <v>59</v>
      </c>
      <c r="D68" s="3">
        <v>316000000</v>
      </c>
      <c r="E68" t="s">
        <v>126</v>
      </c>
      <c r="F68">
        <v>1</v>
      </c>
    </row>
    <row r="69" spans="1:6" x14ac:dyDescent="0.3">
      <c r="A69" t="s">
        <v>12</v>
      </c>
      <c r="B69">
        <v>2022</v>
      </c>
      <c r="C69" t="s">
        <v>65</v>
      </c>
      <c r="D69" s="3">
        <v>304000000</v>
      </c>
      <c r="E69" t="s">
        <v>121</v>
      </c>
      <c r="F69">
        <v>2</v>
      </c>
    </row>
    <row r="70" spans="1:6" x14ac:dyDescent="0.3">
      <c r="A70" t="s">
        <v>12</v>
      </c>
      <c r="B70">
        <v>2022</v>
      </c>
      <c r="C70" t="s">
        <v>78</v>
      </c>
      <c r="D70" s="3">
        <v>189000000</v>
      </c>
      <c r="E70" t="s">
        <v>37</v>
      </c>
      <c r="F70">
        <v>3</v>
      </c>
    </row>
    <row r="71" spans="1:6" x14ac:dyDescent="0.3">
      <c r="A71" t="s">
        <v>12</v>
      </c>
      <c r="B71">
        <v>2023</v>
      </c>
      <c r="C71" t="s">
        <v>59</v>
      </c>
      <c r="D71" s="3">
        <v>232000000</v>
      </c>
      <c r="E71" t="s">
        <v>140</v>
      </c>
      <c r="F71">
        <v>1</v>
      </c>
    </row>
    <row r="72" spans="1:6" x14ac:dyDescent="0.3">
      <c r="A72" t="s">
        <v>12</v>
      </c>
      <c r="B72">
        <v>2023</v>
      </c>
      <c r="C72" t="s">
        <v>65</v>
      </c>
      <c r="D72" s="3">
        <v>229000000</v>
      </c>
      <c r="E72" t="s">
        <v>141</v>
      </c>
      <c r="F72">
        <v>2</v>
      </c>
    </row>
    <row r="73" spans="1:6" x14ac:dyDescent="0.3">
      <c r="A73" t="s">
        <v>12</v>
      </c>
      <c r="B73">
        <v>2023</v>
      </c>
      <c r="C73" t="s">
        <v>78</v>
      </c>
      <c r="D73" s="3">
        <v>175000000</v>
      </c>
      <c r="E73" t="s">
        <v>138</v>
      </c>
      <c r="F73">
        <v>3</v>
      </c>
    </row>
    <row r="74" spans="1:6" x14ac:dyDescent="0.3">
      <c r="A74" t="s">
        <v>13</v>
      </c>
      <c r="B74">
        <v>2021</v>
      </c>
      <c r="C74" t="s">
        <v>81</v>
      </c>
      <c r="D74" s="3">
        <v>11600000</v>
      </c>
      <c r="E74" t="s">
        <v>12</v>
      </c>
      <c r="F74">
        <v>1</v>
      </c>
    </row>
    <row r="75" spans="1:6" x14ac:dyDescent="0.3">
      <c r="A75" t="s">
        <v>13</v>
      </c>
      <c r="B75">
        <v>2021</v>
      </c>
      <c r="C75" t="s">
        <v>65</v>
      </c>
      <c r="D75" s="3">
        <v>10900000</v>
      </c>
      <c r="E75" t="s">
        <v>12</v>
      </c>
      <c r="F75">
        <v>2</v>
      </c>
    </row>
    <row r="76" spans="1:6" x14ac:dyDescent="0.3">
      <c r="A76" t="s">
        <v>13</v>
      </c>
      <c r="B76">
        <v>2021</v>
      </c>
      <c r="C76" t="s">
        <v>75</v>
      </c>
      <c r="D76" s="3">
        <v>9560000</v>
      </c>
      <c r="E76" t="s">
        <v>16</v>
      </c>
      <c r="F76">
        <v>3</v>
      </c>
    </row>
    <row r="77" spans="1:6" x14ac:dyDescent="0.3">
      <c r="A77" t="s">
        <v>13</v>
      </c>
      <c r="B77">
        <v>2022</v>
      </c>
      <c r="C77" t="s">
        <v>64</v>
      </c>
      <c r="D77" s="3">
        <v>17400000</v>
      </c>
      <c r="E77" t="s">
        <v>137</v>
      </c>
      <c r="F77">
        <v>1</v>
      </c>
    </row>
    <row r="78" spans="1:6" x14ac:dyDescent="0.3">
      <c r="A78" t="s">
        <v>13</v>
      </c>
      <c r="B78">
        <v>2022</v>
      </c>
      <c r="C78" t="s">
        <v>65</v>
      </c>
      <c r="D78" s="3">
        <v>10300000</v>
      </c>
      <c r="E78" t="s">
        <v>125</v>
      </c>
      <c r="F78">
        <v>2</v>
      </c>
    </row>
    <row r="79" spans="1:6" x14ac:dyDescent="0.3">
      <c r="A79" t="s">
        <v>13</v>
      </c>
      <c r="B79">
        <v>2022</v>
      </c>
      <c r="C79" t="s">
        <v>82</v>
      </c>
      <c r="D79" s="3">
        <v>9700000</v>
      </c>
      <c r="E79" t="s">
        <v>12</v>
      </c>
      <c r="F79">
        <v>3</v>
      </c>
    </row>
    <row r="80" spans="1:6" x14ac:dyDescent="0.3">
      <c r="A80" t="s">
        <v>13</v>
      </c>
      <c r="B80">
        <v>2023</v>
      </c>
      <c r="C80" t="s">
        <v>65</v>
      </c>
      <c r="D80" s="3">
        <v>16900000</v>
      </c>
      <c r="E80" t="s">
        <v>125</v>
      </c>
      <c r="F80">
        <v>1</v>
      </c>
    </row>
    <row r="81" spans="1:6" x14ac:dyDescent="0.3">
      <c r="A81" t="s">
        <v>13</v>
      </c>
      <c r="B81">
        <v>2023</v>
      </c>
      <c r="C81" t="s">
        <v>64</v>
      </c>
      <c r="D81" s="3">
        <v>16700000</v>
      </c>
      <c r="E81" t="s">
        <v>131</v>
      </c>
      <c r="F81">
        <v>2</v>
      </c>
    </row>
    <row r="82" spans="1:6" x14ac:dyDescent="0.3">
      <c r="A82" t="s">
        <v>13</v>
      </c>
      <c r="B82">
        <v>2023</v>
      </c>
      <c r="C82" t="s">
        <v>82</v>
      </c>
      <c r="D82" s="3">
        <v>9970000</v>
      </c>
      <c r="E82" t="s">
        <v>119</v>
      </c>
      <c r="F82">
        <v>3</v>
      </c>
    </row>
    <row r="83" spans="1:6" x14ac:dyDescent="0.3">
      <c r="A83" t="s">
        <v>14</v>
      </c>
      <c r="B83">
        <v>2021</v>
      </c>
      <c r="C83" t="s">
        <v>65</v>
      </c>
      <c r="D83" s="3">
        <v>19100000</v>
      </c>
      <c r="E83" t="s">
        <v>12</v>
      </c>
      <c r="F83">
        <v>1</v>
      </c>
    </row>
    <row r="84" spans="1:6" x14ac:dyDescent="0.3">
      <c r="A84" t="s">
        <v>14</v>
      </c>
      <c r="B84">
        <v>2021</v>
      </c>
      <c r="C84" t="s">
        <v>80</v>
      </c>
      <c r="D84" s="3">
        <v>14200000</v>
      </c>
      <c r="E84" t="s">
        <v>142</v>
      </c>
      <c r="F84">
        <v>2</v>
      </c>
    </row>
    <row r="85" spans="1:6" x14ac:dyDescent="0.3">
      <c r="A85" t="s">
        <v>14</v>
      </c>
      <c r="B85">
        <v>2021</v>
      </c>
      <c r="C85" t="s">
        <v>60</v>
      </c>
      <c r="D85" s="3">
        <v>12600000</v>
      </c>
      <c r="E85" t="s">
        <v>130</v>
      </c>
      <c r="F85">
        <v>3</v>
      </c>
    </row>
    <row r="86" spans="1:6" x14ac:dyDescent="0.3">
      <c r="A86" t="s">
        <v>14</v>
      </c>
      <c r="B86">
        <v>2022</v>
      </c>
      <c r="C86" t="s">
        <v>80</v>
      </c>
      <c r="D86" s="3">
        <v>24900000</v>
      </c>
      <c r="E86" t="s">
        <v>143</v>
      </c>
      <c r="F86">
        <v>1</v>
      </c>
    </row>
    <row r="87" spans="1:6" x14ac:dyDescent="0.3">
      <c r="A87" t="s">
        <v>14</v>
      </c>
      <c r="B87">
        <v>2022</v>
      </c>
      <c r="C87" t="s">
        <v>60</v>
      </c>
      <c r="D87" s="3">
        <v>13400000</v>
      </c>
      <c r="E87" t="s">
        <v>130</v>
      </c>
      <c r="F87">
        <v>2</v>
      </c>
    </row>
    <row r="88" spans="1:6" x14ac:dyDescent="0.3">
      <c r="A88" t="s">
        <v>14</v>
      </c>
      <c r="B88">
        <v>2022</v>
      </c>
      <c r="C88" t="s">
        <v>83</v>
      </c>
      <c r="D88" s="3">
        <v>12700000</v>
      </c>
      <c r="E88" t="s">
        <v>144</v>
      </c>
      <c r="F88">
        <v>3</v>
      </c>
    </row>
    <row r="89" spans="1:6" x14ac:dyDescent="0.3">
      <c r="A89" t="s">
        <v>14</v>
      </c>
      <c r="B89">
        <v>2023</v>
      </c>
      <c r="C89" t="s">
        <v>80</v>
      </c>
      <c r="D89" s="3">
        <v>17700000</v>
      </c>
      <c r="E89" t="s">
        <v>143</v>
      </c>
      <c r="F89">
        <v>1</v>
      </c>
    </row>
    <row r="90" spans="1:6" x14ac:dyDescent="0.3">
      <c r="A90" t="s">
        <v>14</v>
      </c>
      <c r="B90">
        <v>2023</v>
      </c>
      <c r="C90" t="s">
        <v>83</v>
      </c>
      <c r="D90" s="3">
        <v>13600000</v>
      </c>
      <c r="E90" t="s">
        <v>145</v>
      </c>
      <c r="F90">
        <v>2</v>
      </c>
    </row>
    <row r="91" spans="1:6" x14ac:dyDescent="0.3">
      <c r="A91" t="s">
        <v>14</v>
      </c>
      <c r="B91">
        <v>2023</v>
      </c>
      <c r="C91" t="s">
        <v>59</v>
      </c>
      <c r="D91" s="3">
        <v>13300000</v>
      </c>
      <c r="E91" t="s">
        <v>144</v>
      </c>
      <c r="F91">
        <v>3</v>
      </c>
    </row>
    <row r="92" spans="1:6" x14ac:dyDescent="0.3">
      <c r="A92" t="s">
        <v>15</v>
      </c>
      <c r="B92">
        <v>2021</v>
      </c>
      <c r="C92" t="s">
        <v>65</v>
      </c>
      <c r="D92" s="3">
        <v>36900000</v>
      </c>
      <c r="E92" t="s">
        <v>146</v>
      </c>
      <c r="F92">
        <v>1</v>
      </c>
    </row>
    <row r="93" spans="1:6" x14ac:dyDescent="0.3">
      <c r="A93" t="s">
        <v>15</v>
      </c>
      <c r="B93">
        <v>2021</v>
      </c>
      <c r="C93" t="s">
        <v>64</v>
      </c>
      <c r="D93" s="3">
        <v>25500000</v>
      </c>
      <c r="E93" t="s">
        <v>140</v>
      </c>
      <c r="F93">
        <v>2</v>
      </c>
    </row>
    <row r="94" spans="1:6" x14ac:dyDescent="0.3">
      <c r="A94" t="s">
        <v>15</v>
      </c>
      <c r="B94">
        <v>2021</v>
      </c>
      <c r="C94" t="s">
        <v>75</v>
      </c>
      <c r="D94" s="3">
        <v>8300000.0000000009</v>
      </c>
      <c r="E94" t="s">
        <v>147</v>
      </c>
      <c r="F94">
        <v>3</v>
      </c>
    </row>
    <row r="95" spans="1:6" x14ac:dyDescent="0.3">
      <c r="A95" t="s">
        <v>15</v>
      </c>
      <c r="B95">
        <v>2022</v>
      </c>
      <c r="C95" t="s">
        <v>65</v>
      </c>
      <c r="D95" s="3">
        <v>21600000</v>
      </c>
      <c r="E95" t="s">
        <v>146</v>
      </c>
      <c r="F95">
        <v>1</v>
      </c>
    </row>
    <row r="96" spans="1:6" x14ac:dyDescent="0.3">
      <c r="A96" t="s">
        <v>15</v>
      </c>
      <c r="B96">
        <v>2022</v>
      </c>
      <c r="C96" t="s">
        <v>64</v>
      </c>
      <c r="D96" s="3">
        <v>20400000</v>
      </c>
      <c r="E96" t="s">
        <v>140</v>
      </c>
      <c r="F96">
        <v>2</v>
      </c>
    </row>
    <row r="97" spans="1:6" x14ac:dyDescent="0.3">
      <c r="A97" t="s">
        <v>15</v>
      </c>
      <c r="B97">
        <v>2022</v>
      </c>
      <c r="C97" t="s">
        <v>84</v>
      </c>
      <c r="D97" s="3">
        <v>9680000</v>
      </c>
      <c r="E97" t="s">
        <v>148</v>
      </c>
      <c r="F97">
        <v>3</v>
      </c>
    </row>
    <row r="98" spans="1:6" x14ac:dyDescent="0.3">
      <c r="A98" t="s">
        <v>15</v>
      </c>
      <c r="B98">
        <v>2023</v>
      </c>
      <c r="C98" t="s">
        <v>65</v>
      </c>
      <c r="D98" s="3">
        <v>29500000</v>
      </c>
      <c r="E98" t="s">
        <v>140</v>
      </c>
      <c r="F98">
        <v>1</v>
      </c>
    </row>
    <row r="99" spans="1:6" x14ac:dyDescent="0.3">
      <c r="A99" t="s">
        <v>15</v>
      </c>
      <c r="B99">
        <v>2023</v>
      </c>
      <c r="C99" t="s">
        <v>64</v>
      </c>
      <c r="D99" s="3">
        <v>28400000</v>
      </c>
      <c r="E99" t="s">
        <v>146</v>
      </c>
      <c r="F99">
        <v>2</v>
      </c>
    </row>
    <row r="100" spans="1:6" x14ac:dyDescent="0.3">
      <c r="A100" t="s">
        <v>15</v>
      </c>
      <c r="B100">
        <v>2023</v>
      </c>
      <c r="C100" t="s">
        <v>85</v>
      </c>
      <c r="D100" s="3">
        <v>6320000</v>
      </c>
      <c r="E100" t="s">
        <v>144</v>
      </c>
      <c r="F100">
        <v>3</v>
      </c>
    </row>
    <row r="101" spans="1:6" x14ac:dyDescent="0.3">
      <c r="A101" t="s">
        <v>16</v>
      </c>
      <c r="B101">
        <v>2021</v>
      </c>
      <c r="C101" t="s">
        <v>86</v>
      </c>
      <c r="D101" s="3">
        <v>164000000</v>
      </c>
      <c r="E101" t="s">
        <v>125</v>
      </c>
      <c r="F101">
        <v>1</v>
      </c>
    </row>
    <row r="102" spans="1:6" x14ac:dyDescent="0.3">
      <c r="A102" t="s">
        <v>16</v>
      </c>
      <c r="B102">
        <v>2021</v>
      </c>
      <c r="C102" t="s">
        <v>59</v>
      </c>
      <c r="D102" s="3">
        <v>73300000</v>
      </c>
      <c r="E102" t="s">
        <v>121</v>
      </c>
      <c r="F102">
        <v>2</v>
      </c>
    </row>
    <row r="103" spans="1:6" x14ac:dyDescent="0.3">
      <c r="A103" t="s">
        <v>16</v>
      </c>
      <c r="B103">
        <v>2021</v>
      </c>
      <c r="C103" t="s">
        <v>78</v>
      </c>
      <c r="D103" s="3">
        <v>69200000</v>
      </c>
      <c r="E103" t="s">
        <v>149</v>
      </c>
      <c r="F103">
        <v>3</v>
      </c>
    </row>
    <row r="104" spans="1:6" x14ac:dyDescent="0.3">
      <c r="A104" t="s">
        <v>16</v>
      </c>
      <c r="B104">
        <v>2022</v>
      </c>
      <c r="C104" t="s">
        <v>64</v>
      </c>
      <c r="D104" s="3">
        <v>206000000</v>
      </c>
      <c r="E104" t="s">
        <v>125</v>
      </c>
      <c r="F104">
        <v>1</v>
      </c>
    </row>
    <row r="105" spans="1:6" x14ac:dyDescent="0.3">
      <c r="A105" t="s">
        <v>16</v>
      </c>
      <c r="B105">
        <v>2022</v>
      </c>
      <c r="C105" t="s">
        <v>59</v>
      </c>
      <c r="D105" s="3">
        <v>104000000</v>
      </c>
      <c r="E105" t="s">
        <v>119</v>
      </c>
      <c r="F105">
        <v>2</v>
      </c>
    </row>
    <row r="106" spans="1:6" x14ac:dyDescent="0.3">
      <c r="A106" t="s">
        <v>16</v>
      </c>
      <c r="B106">
        <v>2022</v>
      </c>
      <c r="C106" t="s">
        <v>84</v>
      </c>
      <c r="D106" s="3">
        <v>73900000</v>
      </c>
      <c r="E106" t="s">
        <v>150</v>
      </c>
      <c r="F106">
        <v>3</v>
      </c>
    </row>
    <row r="107" spans="1:6" x14ac:dyDescent="0.3">
      <c r="A107" t="s">
        <v>16</v>
      </c>
      <c r="B107">
        <v>2023</v>
      </c>
      <c r="C107" t="s">
        <v>64</v>
      </c>
      <c r="D107" s="3">
        <v>227000000</v>
      </c>
      <c r="E107" t="s">
        <v>125</v>
      </c>
      <c r="F107">
        <v>1</v>
      </c>
    </row>
    <row r="108" spans="1:6" x14ac:dyDescent="0.3">
      <c r="A108" t="s">
        <v>16</v>
      </c>
      <c r="B108">
        <v>2023</v>
      </c>
      <c r="C108" t="s">
        <v>84</v>
      </c>
      <c r="D108" s="3">
        <v>103000000</v>
      </c>
      <c r="E108" t="s">
        <v>150</v>
      </c>
      <c r="F108">
        <v>2</v>
      </c>
    </row>
    <row r="109" spans="1:6" x14ac:dyDescent="0.3">
      <c r="A109" t="s">
        <v>16</v>
      </c>
      <c r="B109">
        <v>2023</v>
      </c>
      <c r="C109" t="s">
        <v>59</v>
      </c>
      <c r="D109" s="3">
        <v>60700000</v>
      </c>
      <c r="E109" t="s">
        <v>151</v>
      </c>
      <c r="F109">
        <v>3</v>
      </c>
    </row>
    <row r="110" spans="1:6" x14ac:dyDescent="0.3">
      <c r="A110" t="s">
        <v>17</v>
      </c>
      <c r="B110">
        <v>2021</v>
      </c>
      <c r="C110" t="s">
        <v>65</v>
      </c>
      <c r="D110" s="3">
        <v>728000000</v>
      </c>
      <c r="E110" t="s">
        <v>126</v>
      </c>
      <c r="F110">
        <v>1</v>
      </c>
    </row>
    <row r="111" spans="1:6" x14ac:dyDescent="0.3">
      <c r="A111" t="s">
        <v>17</v>
      </c>
      <c r="B111">
        <v>2021</v>
      </c>
      <c r="C111" t="s">
        <v>78</v>
      </c>
      <c r="D111" s="3">
        <v>710000000</v>
      </c>
      <c r="E111" t="s">
        <v>46</v>
      </c>
      <c r="F111">
        <v>2</v>
      </c>
    </row>
    <row r="112" spans="1:6" x14ac:dyDescent="0.3">
      <c r="A112" t="s">
        <v>17</v>
      </c>
      <c r="B112">
        <v>2021</v>
      </c>
      <c r="C112" t="s">
        <v>59</v>
      </c>
      <c r="D112" s="3">
        <v>236000000</v>
      </c>
      <c r="E112" t="s">
        <v>119</v>
      </c>
      <c r="F112">
        <v>3</v>
      </c>
    </row>
    <row r="113" spans="1:6" x14ac:dyDescent="0.3">
      <c r="A113" t="s">
        <v>17</v>
      </c>
      <c r="B113">
        <v>2022</v>
      </c>
      <c r="C113" t="s">
        <v>65</v>
      </c>
      <c r="D113" s="3">
        <v>809000000</v>
      </c>
      <c r="E113" t="s">
        <v>152</v>
      </c>
      <c r="F113">
        <v>1</v>
      </c>
    </row>
    <row r="114" spans="1:6" x14ac:dyDescent="0.3">
      <c r="A114" t="s">
        <v>17</v>
      </c>
      <c r="B114">
        <v>2022</v>
      </c>
      <c r="C114" t="s">
        <v>78</v>
      </c>
      <c r="D114" s="3">
        <v>772000000</v>
      </c>
      <c r="E114" t="s">
        <v>37</v>
      </c>
      <c r="F114">
        <v>2</v>
      </c>
    </row>
    <row r="115" spans="1:6" x14ac:dyDescent="0.3">
      <c r="A115" t="s">
        <v>17</v>
      </c>
      <c r="B115">
        <v>2022</v>
      </c>
      <c r="C115" t="s">
        <v>59</v>
      </c>
      <c r="D115" s="3">
        <v>314000000</v>
      </c>
      <c r="E115" t="s">
        <v>119</v>
      </c>
      <c r="F115">
        <v>3</v>
      </c>
    </row>
    <row r="116" spans="1:6" x14ac:dyDescent="0.3">
      <c r="A116" t="s">
        <v>17</v>
      </c>
      <c r="B116">
        <v>2023</v>
      </c>
      <c r="C116" t="s">
        <v>78</v>
      </c>
      <c r="D116" s="3">
        <v>846000000</v>
      </c>
      <c r="E116" t="s">
        <v>153</v>
      </c>
      <c r="F116">
        <v>1</v>
      </c>
    </row>
    <row r="117" spans="1:6" x14ac:dyDescent="0.3">
      <c r="A117" t="s">
        <v>17</v>
      </c>
      <c r="B117">
        <v>2023</v>
      </c>
      <c r="C117" t="s">
        <v>65</v>
      </c>
      <c r="D117" s="3">
        <v>721000000</v>
      </c>
      <c r="E117" t="s">
        <v>154</v>
      </c>
      <c r="F117">
        <v>2</v>
      </c>
    </row>
    <row r="118" spans="1:6" x14ac:dyDescent="0.3">
      <c r="A118" t="s">
        <v>17</v>
      </c>
      <c r="B118">
        <v>2023</v>
      </c>
      <c r="C118" t="s">
        <v>59</v>
      </c>
      <c r="D118" s="3">
        <v>231000000</v>
      </c>
      <c r="E118" t="s">
        <v>119</v>
      </c>
      <c r="F118">
        <v>3</v>
      </c>
    </row>
    <row r="119" spans="1:6" x14ac:dyDescent="0.3">
      <c r="A119" t="s">
        <v>18</v>
      </c>
      <c r="B119">
        <v>2021</v>
      </c>
      <c r="C119" t="s">
        <v>86</v>
      </c>
      <c r="D119" s="3">
        <v>214000000</v>
      </c>
      <c r="E119" t="s">
        <v>140</v>
      </c>
      <c r="F119">
        <v>1</v>
      </c>
    </row>
    <row r="120" spans="1:6" x14ac:dyDescent="0.3">
      <c r="A120" t="s">
        <v>18</v>
      </c>
      <c r="B120">
        <v>2021</v>
      </c>
      <c r="C120" t="s">
        <v>75</v>
      </c>
      <c r="D120" s="3">
        <v>186000000</v>
      </c>
      <c r="E120" t="s">
        <v>57</v>
      </c>
      <c r="F120">
        <v>2</v>
      </c>
    </row>
    <row r="121" spans="1:6" x14ac:dyDescent="0.3">
      <c r="A121" t="s">
        <v>18</v>
      </c>
      <c r="B121">
        <v>2021</v>
      </c>
      <c r="C121" t="s">
        <v>76</v>
      </c>
      <c r="D121" s="3">
        <v>186000000</v>
      </c>
      <c r="E121" t="s">
        <v>57</v>
      </c>
      <c r="F121">
        <v>3</v>
      </c>
    </row>
    <row r="122" spans="1:6" x14ac:dyDescent="0.3">
      <c r="A122" t="s">
        <v>18</v>
      </c>
      <c r="B122">
        <v>2022</v>
      </c>
      <c r="C122" t="s">
        <v>59</v>
      </c>
      <c r="D122" s="3">
        <v>286000000</v>
      </c>
      <c r="E122" t="s">
        <v>121</v>
      </c>
      <c r="F122">
        <v>1</v>
      </c>
    </row>
    <row r="123" spans="1:6" x14ac:dyDescent="0.3">
      <c r="A123" t="s">
        <v>18</v>
      </c>
      <c r="B123">
        <v>2022</v>
      </c>
      <c r="C123" t="s">
        <v>64</v>
      </c>
      <c r="D123" s="3">
        <v>204000000</v>
      </c>
      <c r="E123" t="s">
        <v>140</v>
      </c>
      <c r="F123">
        <v>2</v>
      </c>
    </row>
    <row r="124" spans="1:6" x14ac:dyDescent="0.3">
      <c r="A124" t="s">
        <v>18</v>
      </c>
      <c r="B124">
        <v>2022</v>
      </c>
      <c r="C124" t="s">
        <v>75</v>
      </c>
      <c r="D124" s="3">
        <v>116000000</v>
      </c>
      <c r="E124" t="s">
        <v>57</v>
      </c>
      <c r="F124">
        <v>3</v>
      </c>
    </row>
    <row r="125" spans="1:6" x14ac:dyDescent="0.3">
      <c r="A125" t="s">
        <v>18</v>
      </c>
      <c r="B125">
        <v>2023</v>
      </c>
      <c r="C125" t="s">
        <v>64</v>
      </c>
      <c r="D125" s="3">
        <v>214000000</v>
      </c>
      <c r="E125" t="s">
        <v>140</v>
      </c>
      <c r="F125">
        <v>1</v>
      </c>
    </row>
    <row r="126" spans="1:6" x14ac:dyDescent="0.3">
      <c r="A126" t="s">
        <v>18</v>
      </c>
      <c r="B126">
        <v>2023</v>
      </c>
      <c r="C126" t="s">
        <v>75</v>
      </c>
      <c r="D126" s="3">
        <v>186000000</v>
      </c>
      <c r="E126" t="s">
        <v>57</v>
      </c>
      <c r="F126">
        <v>2</v>
      </c>
    </row>
    <row r="127" spans="1:6" x14ac:dyDescent="0.3">
      <c r="A127" t="s">
        <v>18</v>
      </c>
      <c r="B127">
        <v>2023</v>
      </c>
      <c r="C127" t="s">
        <v>76</v>
      </c>
      <c r="D127" s="3">
        <v>186000000</v>
      </c>
      <c r="E127" t="s">
        <v>57</v>
      </c>
      <c r="F127">
        <v>3</v>
      </c>
    </row>
    <row r="128" spans="1:6" x14ac:dyDescent="0.3">
      <c r="A128" t="s">
        <v>19</v>
      </c>
      <c r="B128">
        <v>2021</v>
      </c>
      <c r="C128" t="s">
        <v>84</v>
      </c>
      <c r="D128" s="3">
        <v>468000000</v>
      </c>
      <c r="E128" t="s">
        <v>155</v>
      </c>
      <c r="F128">
        <v>1</v>
      </c>
    </row>
    <row r="129" spans="1:6" x14ac:dyDescent="0.3">
      <c r="A129" t="s">
        <v>19</v>
      </c>
      <c r="B129">
        <v>2021</v>
      </c>
      <c r="C129" t="s">
        <v>87</v>
      </c>
      <c r="D129" s="3">
        <v>306000000</v>
      </c>
      <c r="E129" t="s">
        <v>145</v>
      </c>
      <c r="F129">
        <v>2</v>
      </c>
    </row>
    <row r="130" spans="1:6" x14ac:dyDescent="0.3">
      <c r="A130" t="s">
        <v>19</v>
      </c>
      <c r="B130">
        <v>2021</v>
      </c>
      <c r="C130" t="s">
        <v>75</v>
      </c>
      <c r="D130" s="3">
        <v>271000000</v>
      </c>
      <c r="E130" t="s">
        <v>126</v>
      </c>
      <c r="F130">
        <v>3</v>
      </c>
    </row>
    <row r="131" spans="1:6" x14ac:dyDescent="0.3">
      <c r="A131" t="s">
        <v>19</v>
      </c>
      <c r="B131">
        <v>2022</v>
      </c>
      <c r="C131" t="s">
        <v>84</v>
      </c>
      <c r="D131" s="3">
        <v>612000000</v>
      </c>
      <c r="E131" t="s">
        <v>156</v>
      </c>
      <c r="F131">
        <v>1</v>
      </c>
    </row>
    <row r="132" spans="1:6" x14ac:dyDescent="0.3">
      <c r="A132" t="s">
        <v>19</v>
      </c>
      <c r="B132">
        <v>2022</v>
      </c>
      <c r="C132" t="s">
        <v>87</v>
      </c>
      <c r="D132" s="3">
        <v>476000000</v>
      </c>
      <c r="E132" t="s">
        <v>145</v>
      </c>
      <c r="F132">
        <v>2</v>
      </c>
    </row>
    <row r="133" spans="1:6" x14ac:dyDescent="0.3">
      <c r="A133" t="s">
        <v>19</v>
      </c>
      <c r="B133">
        <v>2022</v>
      </c>
      <c r="C133" t="s">
        <v>75</v>
      </c>
      <c r="D133" s="3">
        <v>319000000</v>
      </c>
      <c r="E133" t="s">
        <v>126</v>
      </c>
      <c r="F133">
        <v>3</v>
      </c>
    </row>
    <row r="134" spans="1:6" x14ac:dyDescent="0.3">
      <c r="A134" t="s">
        <v>19</v>
      </c>
      <c r="B134">
        <v>2023</v>
      </c>
      <c r="C134" t="s">
        <v>84</v>
      </c>
      <c r="D134" s="3">
        <v>756000000</v>
      </c>
      <c r="E134" t="s">
        <v>155</v>
      </c>
      <c r="F134">
        <v>1</v>
      </c>
    </row>
    <row r="135" spans="1:6" x14ac:dyDescent="0.3">
      <c r="A135" t="s">
        <v>19</v>
      </c>
      <c r="B135">
        <v>2023</v>
      </c>
      <c r="C135" t="s">
        <v>87</v>
      </c>
      <c r="D135" s="3">
        <v>405000000</v>
      </c>
      <c r="E135" t="s">
        <v>145</v>
      </c>
      <c r="F135">
        <v>2</v>
      </c>
    </row>
    <row r="136" spans="1:6" x14ac:dyDescent="0.3">
      <c r="A136" t="s">
        <v>19</v>
      </c>
      <c r="B136">
        <v>2023</v>
      </c>
      <c r="C136" t="s">
        <v>75</v>
      </c>
      <c r="D136" s="3">
        <v>377000000</v>
      </c>
      <c r="E136" t="s">
        <v>126</v>
      </c>
      <c r="F136">
        <v>3</v>
      </c>
    </row>
    <row r="137" spans="1:6" x14ac:dyDescent="0.3">
      <c r="A137" t="s">
        <v>20</v>
      </c>
      <c r="B137">
        <v>2021</v>
      </c>
      <c r="C137" t="s">
        <v>59</v>
      </c>
      <c r="D137" s="3">
        <v>5790000000</v>
      </c>
      <c r="E137" t="s">
        <v>121</v>
      </c>
      <c r="F137">
        <v>1</v>
      </c>
    </row>
    <row r="138" spans="1:6" x14ac:dyDescent="0.3">
      <c r="A138" t="s">
        <v>20</v>
      </c>
      <c r="B138">
        <v>2021</v>
      </c>
      <c r="C138" t="s">
        <v>62</v>
      </c>
      <c r="D138" s="3">
        <v>2260000000</v>
      </c>
      <c r="E138" t="s">
        <v>120</v>
      </c>
      <c r="F138">
        <v>2</v>
      </c>
    </row>
    <row r="139" spans="1:6" x14ac:dyDescent="0.3">
      <c r="A139" t="s">
        <v>20</v>
      </c>
      <c r="B139">
        <v>2021</v>
      </c>
      <c r="C139" t="s">
        <v>67</v>
      </c>
      <c r="D139" s="3">
        <v>2170000000</v>
      </c>
      <c r="E139" t="s">
        <v>125</v>
      </c>
      <c r="F139">
        <v>3</v>
      </c>
    </row>
    <row r="140" spans="1:6" x14ac:dyDescent="0.3">
      <c r="A140" t="s">
        <v>20</v>
      </c>
      <c r="B140">
        <v>2022</v>
      </c>
      <c r="C140" t="s">
        <v>59</v>
      </c>
      <c r="D140" s="3">
        <v>5320000000</v>
      </c>
      <c r="E140" t="s">
        <v>121</v>
      </c>
      <c r="F140">
        <v>1</v>
      </c>
    </row>
    <row r="141" spans="1:6" x14ac:dyDescent="0.3">
      <c r="A141" t="s">
        <v>20</v>
      </c>
      <c r="B141">
        <v>2022</v>
      </c>
      <c r="C141" t="s">
        <v>67</v>
      </c>
      <c r="D141" s="3">
        <v>2500000000</v>
      </c>
      <c r="E141" t="s">
        <v>131</v>
      </c>
      <c r="F141">
        <v>2</v>
      </c>
    </row>
    <row r="142" spans="1:6" x14ac:dyDescent="0.3">
      <c r="A142" t="s">
        <v>20</v>
      </c>
      <c r="B142">
        <v>2022</v>
      </c>
      <c r="C142" t="s">
        <v>62</v>
      </c>
      <c r="D142" s="3">
        <v>2250000000</v>
      </c>
      <c r="E142" t="s">
        <v>125</v>
      </c>
      <c r="F142">
        <v>3</v>
      </c>
    </row>
    <row r="143" spans="1:6" x14ac:dyDescent="0.3">
      <c r="A143" t="s">
        <v>20</v>
      </c>
      <c r="B143">
        <v>2023</v>
      </c>
      <c r="C143" t="s">
        <v>59</v>
      </c>
      <c r="D143" s="3">
        <v>4000000000</v>
      </c>
      <c r="E143" t="s">
        <v>121</v>
      </c>
      <c r="F143">
        <v>1</v>
      </c>
    </row>
    <row r="144" spans="1:6" x14ac:dyDescent="0.3">
      <c r="A144" t="s">
        <v>20</v>
      </c>
      <c r="B144">
        <v>2023</v>
      </c>
      <c r="C144" t="s">
        <v>62</v>
      </c>
      <c r="D144" s="3">
        <v>1490000000</v>
      </c>
      <c r="E144" t="s">
        <v>157</v>
      </c>
      <c r="F144">
        <v>2</v>
      </c>
    </row>
    <row r="145" spans="1:6" x14ac:dyDescent="0.3">
      <c r="A145" t="s">
        <v>20</v>
      </c>
      <c r="B145">
        <v>2023</v>
      </c>
      <c r="C145" t="s">
        <v>84</v>
      </c>
      <c r="D145" s="3">
        <v>1200000000</v>
      </c>
      <c r="E145" t="s">
        <v>150</v>
      </c>
      <c r="F145">
        <v>3</v>
      </c>
    </row>
    <row r="146" spans="1:6" x14ac:dyDescent="0.3">
      <c r="A146" t="s">
        <v>21</v>
      </c>
      <c r="B146">
        <v>2021</v>
      </c>
      <c r="C146" t="s">
        <v>64</v>
      </c>
      <c r="D146" s="3">
        <v>39300000</v>
      </c>
      <c r="E146" t="s">
        <v>125</v>
      </c>
      <c r="F146">
        <v>1</v>
      </c>
    </row>
    <row r="147" spans="1:6" x14ac:dyDescent="0.3">
      <c r="A147" t="s">
        <v>21</v>
      </c>
      <c r="B147">
        <v>2021</v>
      </c>
      <c r="C147" t="s">
        <v>84</v>
      </c>
      <c r="D147" s="3">
        <v>16500000</v>
      </c>
      <c r="E147" t="s">
        <v>150</v>
      </c>
      <c r="F147">
        <v>2</v>
      </c>
    </row>
    <row r="148" spans="1:6" x14ac:dyDescent="0.3">
      <c r="A148" t="s">
        <v>21</v>
      </c>
      <c r="B148">
        <v>2021</v>
      </c>
      <c r="C148" t="s">
        <v>78</v>
      </c>
      <c r="D148" s="3">
        <v>11800000</v>
      </c>
      <c r="E148" t="s">
        <v>158</v>
      </c>
      <c r="F148">
        <v>3</v>
      </c>
    </row>
    <row r="149" spans="1:6" x14ac:dyDescent="0.3">
      <c r="A149" t="s">
        <v>21</v>
      </c>
      <c r="B149">
        <v>2022</v>
      </c>
      <c r="C149" t="s">
        <v>64</v>
      </c>
      <c r="D149" s="3">
        <v>45400000</v>
      </c>
      <c r="E149" t="s">
        <v>131</v>
      </c>
      <c r="F149">
        <v>1</v>
      </c>
    </row>
    <row r="150" spans="1:6" x14ac:dyDescent="0.3">
      <c r="A150" t="s">
        <v>21</v>
      </c>
      <c r="B150">
        <v>2022</v>
      </c>
      <c r="C150" t="s">
        <v>84</v>
      </c>
      <c r="D150" s="3">
        <v>16700000</v>
      </c>
      <c r="E150" t="s">
        <v>150</v>
      </c>
      <c r="F150">
        <v>2</v>
      </c>
    </row>
    <row r="151" spans="1:6" x14ac:dyDescent="0.3">
      <c r="A151" t="s">
        <v>21</v>
      </c>
      <c r="B151">
        <v>2022</v>
      </c>
      <c r="C151" t="s">
        <v>78</v>
      </c>
      <c r="D151" s="3">
        <v>13000000</v>
      </c>
      <c r="E151" t="s">
        <v>158</v>
      </c>
      <c r="F151">
        <v>3</v>
      </c>
    </row>
    <row r="152" spans="1:6" x14ac:dyDescent="0.3">
      <c r="A152" t="s">
        <v>21</v>
      </c>
      <c r="B152">
        <v>2023</v>
      </c>
      <c r="C152" t="s">
        <v>64</v>
      </c>
      <c r="D152" s="3">
        <v>42800000</v>
      </c>
      <c r="E152" t="s">
        <v>131</v>
      </c>
      <c r="F152">
        <v>1</v>
      </c>
    </row>
    <row r="153" spans="1:6" x14ac:dyDescent="0.3">
      <c r="A153" t="s">
        <v>21</v>
      </c>
      <c r="B153">
        <v>2023</v>
      </c>
      <c r="C153" t="s">
        <v>78</v>
      </c>
      <c r="D153" s="3">
        <v>13000000</v>
      </c>
      <c r="E153" t="s">
        <v>137</v>
      </c>
      <c r="F153">
        <v>2</v>
      </c>
    </row>
    <row r="154" spans="1:6" x14ac:dyDescent="0.3">
      <c r="A154" t="s">
        <v>21</v>
      </c>
      <c r="B154">
        <v>2023</v>
      </c>
      <c r="C154" t="s">
        <v>65</v>
      </c>
      <c r="D154" s="3">
        <v>12600000</v>
      </c>
      <c r="E154" t="s">
        <v>141</v>
      </c>
      <c r="F154">
        <v>3</v>
      </c>
    </row>
    <row r="155" spans="1:6" x14ac:dyDescent="0.3">
      <c r="A155" t="s">
        <v>22</v>
      </c>
      <c r="B155">
        <v>2021</v>
      </c>
      <c r="C155" t="s">
        <v>59</v>
      </c>
      <c r="D155" s="3">
        <v>15100000</v>
      </c>
      <c r="E155" t="s">
        <v>145</v>
      </c>
      <c r="F155">
        <v>1</v>
      </c>
    </row>
    <row r="156" spans="1:6" x14ac:dyDescent="0.3">
      <c r="A156" t="s">
        <v>22</v>
      </c>
      <c r="B156">
        <v>2021</v>
      </c>
      <c r="C156" t="s">
        <v>88</v>
      </c>
      <c r="D156" s="3">
        <v>13700000</v>
      </c>
      <c r="E156" t="s">
        <v>125</v>
      </c>
      <c r="F156">
        <v>2</v>
      </c>
    </row>
    <row r="157" spans="1:6" x14ac:dyDescent="0.3">
      <c r="A157" t="s">
        <v>22</v>
      </c>
      <c r="B157">
        <v>2021</v>
      </c>
      <c r="C157" t="s">
        <v>89</v>
      </c>
      <c r="D157" s="3">
        <v>13700000</v>
      </c>
      <c r="E157" t="s">
        <v>131</v>
      </c>
      <c r="F157">
        <v>3</v>
      </c>
    </row>
    <row r="158" spans="1:6" x14ac:dyDescent="0.3">
      <c r="A158" t="s">
        <v>22</v>
      </c>
      <c r="B158">
        <v>2022</v>
      </c>
      <c r="C158" t="s">
        <v>88</v>
      </c>
      <c r="D158" s="3">
        <v>27000000</v>
      </c>
      <c r="E158" t="s">
        <v>125</v>
      </c>
      <c r="F158">
        <v>1</v>
      </c>
    </row>
    <row r="159" spans="1:6" x14ac:dyDescent="0.3">
      <c r="A159" t="s">
        <v>22</v>
      </c>
      <c r="B159">
        <v>2022</v>
      </c>
      <c r="C159" t="s">
        <v>59</v>
      </c>
      <c r="D159" s="3">
        <v>22700000</v>
      </c>
      <c r="E159" t="s">
        <v>145</v>
      </c>
      <c r="F159">
        <v>2</v>
      </c>
    </row>
    <row r="160" spans="1:6" x14ac:dyDescent="0.3">
      <c r="A160" t="s">
        <v>22</v>
      </c>
      <c r="B160">
        <v>2022</v>
      </c>
      <c r="C160" t="s">
        <v>90</v>
      </c>
      <c r="D160" s="3">
        <v>12800000</v>
      </c>
      <c r="E160" t="s">
        <v>144</v>
      </c>
      <c r="F160">
        <v>3</v>
      </c>
    </row>
    <row r="161" spans="1:6" x14ac:dyDescent="0.3">
      <c r="A161" t="s">
        <v>22</v>
      </c>
      <c r="B161">
        <v>2023</v>
      </c>
      <c r="C161" t="s">
        <v>88</v>
      </c>
      <c r="D161" s="3">
        <v>27300000</v>
      </c>
      <c r="E161" t="s">
        <v>125</v>
      </c>
      <c r="F161">
        <v>1</v>
      </c>
    </row>
    <row r="162" spans="1:6" x14ac:dyDescent="0.3">
      <c r="A162" t="s">
        <v>22</v>
      </c>
      <c r="B162">
        <v>2023</v>
      </c>
      <c r="C162" t="s">
        <v>59</v>
      </c>
      <c r="D162" s="3">
        <v>22300000</v>
      </c>
      <c r="E162" t="s">
        <v>145</v>
      </c>
      <c r="F162">
        <v>2</v>
      </c>
    </row>
    <row r="163" spans="1:6" x14ac:dyDescent="0.3">
      <c r="A163" t="s">
        <v>22</v>
      </c>
      <c r="B163">
        <v>2023</v>
      </c>
      <c r="C163" t="s">
        <v>75</v>
      </c>
      <c r="D163" s="3">
        <v>15300000</v>
      </c>
      <c r="E163" t="s">
        <v>126</v>
      </c>
      <c r="F163">
        <v>3</v>
      </c>
    </row>
    <row r="164" spans="1:6" x14ac:dyDescent="0.3">
      <c r="A164" t="s">
        <v>23</v>
      </c>
      <c r="B164">
        <v>2021</v>
      </c>
      <c r="C164" t="s">
        <v>62</v>
      </c>
      <c r="D164" s="3">
        <v>37200000</v>
      </c>
      <c r="E164" t="s">
        <v>50</v>
      </c>
      <c r="F164">
        <v>1</v>
      </c>
    </row>
    <row r="165" spans="1:6" x14ac:dyDescent="0.3">
      <c r="A165" t="s">
        <v>23</v>
      </c>
      <c r="B165">
        <v>2021</v>
      </c>
      <c r="C165" t="s">
        <v>65</v>
      </c>
      <c r="D165" s="3">
        <v>23600000</v>
      </c>
      <c r="E165" t="s">
        <v>126</v>
      </c>
      <c r="F165">
        <v>2</v>
      </c>
    </row>
    <row r="166" spans="1:6" x14ac:dyDescent="0.3">
      <c r="A166" t="s">
        <v>23</v>
      </c>
      <c r="B166">
        <v>2021</v>
      </c>
      <c r="C166" t="s">
        <v>59</v>
      </c>
      <c r="D166" s="3">
        <v>18800000</v>
      </c>
      <c r="E166" t="s">
        <v>159</v>
      </c>
      <c r="F166">
        <v>3</v>
      </c>
    </row>
    <row r="167" spans="1:6" x14ac:dyDescent="0.3">
      <c r="A167" t="s">
        <v>23</v>
      </c>
      <c r="B167">
        <v>2022</v>
      </c>
      <c r="C167" t="s">
        <v>62</v>
      </c>
      <c r="D167" s="3">
        <v>45100000</v>
      </c>
      <c r="E167" t="s">
        <v>50</v>
      </c>
      <c r="F167">
        <v>1</v>
      </c>
    </row>
    <row r="168" spans="1:6" x14ac:dyDescent="0.3">
      <c r="A168" t="s">
        <v>23</v>
      </c>
      <c r="B168">
        <v>2022</v>
      </c>
      <c r="C168" t="s">
        <v>65</v>
      </c>
      <c r="D168" s="3">
        <v>21600000</v>
      </c>
      <c r="E168" t="s">
        <v>126</v>
      </c>
      <c r="F168">
        <v>2</v>
      </c>
    </row>
    <row r="169" spans="1:6" x14ac:dyDescent="0.3">
      <c r="A169" t="s">
        <v>23</v>
      </c>
      <c r="B169">
        <v>2022</v>
      </c>
      <c r="C169" t="s">
        <v>59</v>
      </c>
      <c r="D169" s="3">
        <v>21300000</v>
      </c>
      <c r="E169" t="s">
        <v>159</v>
      </c>
      <c r="F169">
        <v>3</v>
      </c>
    </row>
    <row r="170" spans="1:6" x14ac:dyDescent="0.3">
      <c r="A170" t="s">
        <v>23</v>
      </c>
      <c r="B170">
        <v>2023</v>
      </c>
      <c r="C170" t="s">
        <v>62</v>
      </c>
      <c r="D170" s="3">
        <v>42900000</v>
      </c>
      <c r="E170" t="s">
        <v>50</v>
      </c>
      <c r="F170">
        <v>1</v>
      </c>
    </row>
    <row r="171" spans="1:6" x14ac:dyDescent="0.3">
      <c r="A171" t="s">
        <v>23</v>
      </c>
      <c r="B171">
        <v>2023</v>
      </c>
      <c r="C171" t="s">
        <v>65</v>
      </c>
      <c r="D171" s="3">
        <v>24500000</v>
      </c>
      <c r="E171" t="s">
        <v>126</v>
      </c>
      <c r="F171">
        <v>2</v>
      </c>
    </row>
    <row r="172" spans="1:6" x14ac:dyDescent="0.3">
      <c r="A172" t="s">
        <v>23</v>
      </c>
      <c r="B172">
        <v>2023</v>
      </c>
      <c r="C172" t="s">
        <v>76</v>
      </c>
      <c r="D172" s="3">
        <v>20100000</v>
      </c>
      <c r="E172" t="s">
        <v>50</v>
      </c>
      <c r="F172">
        <v>3</v>
      </c>
    </row>
    <row r="173" spans="1:6" x14ac:dyDescent="0.3">
      <c r="A173" t="s">
        <v>24</v>
      </c>
      <c r="B173">
        <v>2021</v>
      </c>
      <c r="C173" t="s">
        <v>59</v>
      </c>
      <c r="D173" s="3">
        <v>1020000000</v>
      </c>
      <c r="E173" t="s">
        <v>157</v>
      </c>
      <c r="F173">
        <v>1</v>
      </c>
    </row>
    <row r="174" spans="1:6" x14ac:dyDescent="0.3">
      <c r="A174" t="s">
        <v>24</v>
      </c>
      <c r="B174">
        <v>2021</v>
      </c>
      <c r="C174" t="s">
        <v>75</v>
      </c>
      <c r="D174" s="3">
        <v>820000000</v>
      </c>
      <c r="E174" t="s">
        <v>126</v>
      </c>
      <c r="F174">
        <v>2</v>
      </c>
    </row>
    <row r="175" spans="1:6" x14ac:dyDescent="0.3">
      <c r="A175" t="s">
        <v>24</v>
      </c>
      <c r="B175">
        <v>2021</v>
      </c>
      <c r="C175" t="s">
        <v>91</v>
      </c>
      <c r="D175" s="3">
        <v>714000000</v>
      </c>
      <c r="E175" t="s">
        <v>148</v>
      </c>
      <c r="F175">
        <v>3</v>
      </c>
    </row>
    <row r="176" spans="1:6" x14ac:dyDescent="0.3">
      <c r="A176" t="s">
        <v>24</v>
      </c>
      <c r="B176">
        <v>2022</v>
      </c>
      <c r="C176" t="s">
        <v>59</v>
      </c>
      <c r="D176" s="3">
        <v>1160000000</v>
      </c>
      <c r="E176" t="s">
        <v>125</v>
      </c>
      <c r="F176">
        <v>1</v>
      </c>
    </row>
    <row r="177" spans="1:6" x14ac:dyDescent="0.3">
      <c r="A177" t="s">
        <v>24</v>
      </c>
      <c r="B177">
        <v>2022</v>
      </c>
      <c r="C177" t="s">
        <v>75</v>
      </c>
      <c r="D177" s="3">
        <v>863000000</v>
      </c>
      <c r="E177" t="s">
        <v>126</v>
      </c>
      <c r="F177">
        <v>2</v>
      </c>
    </row>
    <row r="178" spans="1:6" x14ac:dyDescent="0.3">
      <c r="A178" t="s">
        <v>24</v>
      </c>
      <c r="B178">
        <v>2022</v>
      </c>
      <c r="C178" t="s">
        <v>91</v>
      </c>
      <c r="D178" s="3">
        <v>764000000</v>
      </c>
      <c r="E178" t="s">
        <v>148</v>
      </c>
      <c r="F178">
        <v>3</v>
      </c>
    </row>
    <row r="179" spans="1:6" x14ac:dyDescent="0.3">
      <c r="A179" t="s">
        <v>24</v>
      </c>
      <c r="B179">
        <v>2023</v>
      </c>
      <c r="C179" t="s">
        <v>75</v>
      </c>
      <c r="D179" s="3">
        <v>667000000</v>
      </c>
      <c r="E179" t="s">
        <v>19</v>
      </c>
      <c r="F179">
        <v>1</v>
      </c>
    </row>
    <row r="180" spans="1:6" x14ac:dyDescent="0.3">
      <c r="A180" t="s">
        <v>24</v>
      </c>
      <c r="B180">
        <v>2023</v>
      </c>
      <c r="C180" t="s">
        <v>65</v>
      </c>
      <c r="D180" s="3">
        <v>484000000</v>
      </c>
      <c r="E180" t="s">
        <v>19</v>
      </c>
      <c r="F180">
        <v>2</v>
      </c>
    </row>
    <row r="181" spans="1:6" x14ac:dyDescent="0.3">
      <c r="A181" t="s">
        <v>24</v>
      </c>
      <c r="B181">
        <v>2023</v>
      </c>
      <c r="C181" t="s">
        <v>90</v>
      </c>
      <c r="D181" s="3">
        <v>478000000</v>
      </c>
      <c r="E181" t="s">
        <v>19</v>
      </c>
      <c r="F181">
        <v>3</v>
      </c>
    </row>
    <row r="182" spans="1:6" x14ac:dyDescent="0.3">
      <c r="A182" t="s">
        <v>25</v>
      </c>
      <c r="B182">
        <v>2021</v>
      </c>
      <c r="C182" t="s">
        <v>64</v>
      </c>
      <c r="D182" s="3">
        <v>106000000</v>
      </c>
      <c r="E182" t="s">
        <v>160</v>
      </c>
      <c r="F182">
        <v>1</v>
      </c>
    </row>
    <row r="183" spans="1:6" x14ac:dyDescent="0.3">
      <c r="A183" t="s">
        <v>25</v>
      </c>
      <c r="B183">
        <v>2021</v>
      </c>
      <c r="C183" t="s">
        <v>65</v>
      </c>
      <c r="D183" s="3">
        <v>76900000</v>
      </c>
      <c r="E183" t="s">
        <v>161</v>
      </c>
      <c r="F183">
        <v>2</v>
      </c>
    </row>
    <row r="184" spans="1:6" x14ac:dyDescent="0.3">
      <c r="A184" t="s">
        <v>25</v>
      </c>
      <c r="B184">
        <v>2021</v>
      </c>
      <c r="C184" t="s">
        <v>59</v>
      </c>
      <c r="D184" s="3">
        <v>43200000</v>
      </c>
      <c r="E184" t="s">
        <v>119</v>
      </c>
      <c r="F184">
        <v>3</v>
      </c>
    </row>
    <row r="185" spans="1:6" x14ac:dyDescent="0.3">
      <c r="A185" t="s">
        <v>25</v>
      </c>
      <c r="B185">
        <v>2022</v>
      </c>
      <c r="C185" t="s">
        <v>64</v>
      </c>
      <c r="D185" s="3">
        <v>111000000</v>
      </c>
      <c r="E185" t="s">
        <v>125</v>
      </c>
      <c r="F185">
        <v>1</v>
      </c>
    </row>
    <row r="186" spans="1:6" x14ac:dyDescent="0.3">
      <c r="A186" t="s">
        <v>25</v>
      </c>
      <c r="B186">
        <v>2022</v>
      </c>
      <c r="C186" t="s">
        <v>65</v>
      </c>
      <c r="D186" s="3">
        <v>60100000</v>
      </c>
      <c r="E186" t="s">
        <v>154</v>
      </c>
      <c r="F186">
        <v>2</v>
      </c>
    </row>
    <row r="187" spans="1:6" x14ac:dyDescent="0.3">
      <c r="A187" t="s">
        <v>25</v>
      </c>
      <c r="B187">
        <v>2022</v>
      </c>
      <c r="C187" t="s">
        <v>59</v>
      </c>
      <c r="D187" s="3">
        <v>47600000</v>
      </c>
      <c r="E187" t="s">
        <v>119</v>
      </c>
      <c r="F187">
        <v>3</v>
      </c>
    </row>
    <row r="188" spans="1:6" x14ac:dyDescent="0.3">
      <c r="A188" t="s">
        <v>25</v>
      </c>
      <c r="B188">
        <v>2023</v>
      </c>
      <c r="C188" t="s">
        <v>64</v>
      </c>
      <c r="D188" s="3">
        <v>98600000</v>
      </c>
      <c r="E188" t="s">
        <v>131</v>
      </c>
      <c r="F188">
        <v>1</v>
      </c>
    </row>
    <row r="189" spans="1:6" x14ac:dyDescent="0.3">
      <c r="A189" t="s">
        <v>25</v>
      </c>
      <c r="B189">
        <v>2023</v>
      </c>
      <c r="C189" t="s">
        <v>65</v>
      </c>
      <c r="D189" s="3">
        <v>83700000</v>
      </c>
      <c r="E189" t="s">
        <v>154</v>
      </c>
      <c r="F189">
        <v>2</v>
      </c>
    </row>
    <row r="190" spans="1:6" x14ac:dyDescent="0.3">
      <c r="A190" t="s">
        <v>25</v>
      </c>
      <c r="B190">
        <v>2023</v>
      </c>
      <c r="C190" t="s">
        <v>59</v>
      </c>
      <c r="D190" s="3">
        <v>44900000</v>
      </c>
      <c r="E190" t="s">
        <v>119</v>
      </c>
      <c r="F190">
        <v>3</v>
      </c>
    </row>
    <row r="191" spans="1:6" x14ac:dyDescent="0.3">
      <c r="A191" t="s">
        <v>26</v>
      </c>
      <c r="B191">
        <v>2021</v>
      </c>
      <c r="C191" t="s">
        <v>84</v>
      </c>
      <c r="D191" s="3">
        <v>76600000</v>
      </c>
      <c r="E191" t="s">
        <v>155</v>
      </c>
      <c r="F191">
        <v>1</v>
      </c>
    </row>
    <row r="192" spans="1:6" x14ac:dyDescent="0.3">
      <c r="A192" t="s">
        <v>26</v>
      </c>
      <c r="B192">
        <v>2021</v>
      </c>
      <c r="C192" t="s">
        <v>65</v>
      </c>
      <c r="D192" s="3">
        <v>67600000</v>
      </c>
      <c r="E192" t="s">
        <v>131</v>
      </c>
      <c r="F192">
        <v>2</v>
      </c>
    </row>
    <row r="193" spans="1:6" x14ac:dyDescent="0.3">
      <c r="A193" t="s">
        <v>26</v>
      </c>
      <c r="B193">
        <v>2021</v>
      </c>
      <c r="C193" t="s">
        <v>64</v>
      </c>
      <c r="D193" s="3">
        <v>40300000</v>
      </c>
      <c r="E193" t="s">
        <v>125</v>
      </c>
      <c r="F193">
        <v>3</v>
      </c>
    </row>
    <row r="194" spans="1:6" x14ac:dyDescent="0.3">
      <c r="A194" t="s">
        <v>26</v>
      </c>
      <c r="B194">
        <v>2022</v>
      </c>
      <c r="C194" t="s">
        <v>65</v>
      </c>
      <c r="D194" s="3">
        <v>76500000</v>
      </c>
      <c r="E194" t="s">
        <v>126</v>
      </c>
      <c r="F194">
        <v>1</v>
      </c>
    </row>
    <row r="195" spans="1:6" x14ac:dyDescent="0.3">
      <c r="A195" t="s">
        <v>26</v>
      </c>
      <c r="B195">
        <v>2022</v>
      </c>
      <c r="C195" t="s">
        <v>75</v>
      </c>
      <c r="D195" s="3">
        <v>75400000</v>
      </c>
      <c r="E195" t="s">
        <v>131</v>
      </c>
      <c r="F195">
        <v>2</v>
      </c>
    </row>
    <row r="196" spans="1:6" x14ac:dyDescent="0.3">
      <c r="A196" t="s">
        <v>26</v>
      </c>
      <c r="B196">
        <v>2022</v>
      </c>
      <c r="C196" t="s">
        <v>64</v>
      </c>
      <c r="D196" s="3">
        <v>61400000</v>
      </c>
      <c r="E196" t="s">
        <v>125</v>
      </c>
      <c r="F196">
        <v>3</v>
      </c>
    </row>
    <row r="197" spans="1:6" x14ac:dyDescent="0.3">
      <c r="A197" t="s">
        <v>26</v>
      </c>
      <c r="B197">
        <v>2023</v>
      </c>
      <c r="C197" t="s">
        <v>65</v>
      </c>
      <c r="D197" s="3">
        <v>106000000</v>
      </c>
      <c r="E197" t="s">
        <v>126</v>
      </c>
      <c r="F197">
        <v>1</v>
      </c>
    </row>
    <row r="198" spans="1:6" x14ac:dyDescent="0.3">
      <c r="A198" t="s">
        <v>26</v>
      </c>
      <c r="B198">
        <v>2023</v>
      </c>
      <c r="C198" t="s">
        <v>84</v>
      </c>
      <c r="D198" s="3">
        <v>69500000</v>
      </c>
      <c r="E198" t="s">
        <v>125</v>
      </c>
      <c r="F198">
        <v>2</v>
      </c>
    </row>
    <row r="199" spans="1:6" x14ac:dyDescent="0.3">
      <c r="A199" t="s">
        <v>26</v>
      </c>
      <c r="B199">
        <v>2023</v>
      </c>
      <c r="C199" t="s">
        <v>64</v>
      </c>
      <c r="D199" s="3">
        <v>59100000</v>
      </c>
      <c r="E199" t="s">
        <v>125</v>
      </c>
      <c r="F199">
        <v>3</v>
      </c>
    </row>
    <row r="200" spans="1:6" x14ac:dyDescent="0.3">
      <c r="A200" t="s">
        <v>27</v>
      </c>
      <c r="B200">
        <v>2021</v>
      </c>
      <c r="C200" t="s">
        <v>65</v>
      </c>
      <c r="D200" s="3">
        <v>539000000</v>
      </c>
      <c r="E200" t="s">
        <v>152</v>
      </c>
      <c r="F200">
        <v>1</v>
      </c>
    </row>
    <row r="201" spans="1:6" x14ac:dyDescent="0.3">
      <c r="A201" t="s">
        <v>27</v>
      </c>
      <c r="B201">
        <v>2021</v>
      </c>
      <c r="C201" t="s">
        <v>78</v>
      </c>
      <c r="D201" s="3">
        <v>402000000</v>
      </c>
      <c r="E201" t="s">
        <v>37</v>
      </c>
      <c r="F201">
        <v>2</v>
      </c>
    </row>
    <row r="202" spans="1:6" x14ac:dyDescent="0.3">
      <c r="A202" t="s">
        <v>27</v>
      </c>
      <c r="B202">
        <v>2021</v>
      </c>
      <c r="C202" t="s">
        <v>84</v>
      </c>
      <c r="D202" s="3">
        <v>353000000</v>
      </c>
      <c r="E202" t="s">
        <v>148</v>
      </c>
      <c r="F202">
        <v>3</v>
      </c>
    </row>
    <row r="203" spans="1:6" x14ac:dyDescent="0.3">
      <c r="A203" t="s">
        <v>27</v>
      </c>
      <c r="B203">
        <v>2022</v>
      </c>
      <c r="C203" t="s">
        <v>65</v>
      </c>
      <c r="D203" s="3">
        <v>453000000</v>
      </c>
      <c r="E203" t="s">
        <v>152</v>
      </c>
      <c r="F203">
        <v>1</v>
      </c>
    </row>
    <row r="204" spans="1:6" x14ac:dyDescent="0.3">
      <c r="A204" t="s">
        <v>27</v>
      </c>
      <c r="B204">
        <v>2022</v>
      </c>
      <c r="C204" t="s">
        <v>78</v>
      </c>
      <c r="D204" s="3">
        <v>320000000</v>
      </c>
      <c r="E204" t="s">
        <v>37</v>
      </c>
      <c r="F204">
        <v>2</v>
      </c>
    </row>
    <row r="205" spans="1:6" x14ac:dyDescent="0.3">
      <c r="A205" t="s">
        <v>27</v>
      </c>
      <c r="B205">
        <v>2022</v>
      </c>
      <c r="C205" t="s">
        <v>92</v>
      </c>
      <c r="D205" s="3">
        <v>267000000</v>
      </c>
      <c r="E205" t="s">
        <v>122</v>
      </c>
      <c r="F205">
        <v>3</v>
      </c>
    </row>
    <row r="206" spans="1:6" x14ac:dyDescent="0.3">
      <c r="A206" t="s">
        <v>27</v>
      </c>
      <c r="B206">
        <v>2023</v>
      </c>
      <c r="C206" t="s">
        <v>65</v>
      </c>
      <c r="D206" s="3">
        <v>342000000</v>
      </c>
      <c r="E206" t="s">
        <v>152</v>
      </c>
      <c r="F206">
        <v>1</v>
      </c>
    </row>
    <row r="207" spans="1:6" x14ac:dyDescent="0.3">
      <c r="A207" t="s">
        <v>27</v>
      </c>
      <c r="B207">
        <v>2023</v>
      </c>
      <c r="C207" t="s">
        <v>64</v>
      </c>
      <c r="D207" s="3">
        <v>298000000</v>
      </c>
      <c r="E207" t="s">
        <v>137</v>
      </c>
      <c r="F207">
        <v>2</v>
      </c>
    </row>
    <row r="208" spans="1:6" x14ac:dyDescent="0.3">
      <c r="A208" t="s">
        <v>27</v>
      </c>
      <c r="B208">
        <v>2023</v>
      </c>
      <c r="C208" t="s">
        <v>92</v>
      </c>
      <c r="D208" s="3">
        <v>257000000</v>
      </c>
      <c r="E208" t="s">
        <v>122</v>
      </c>
      <c r="F208">
        <v>3</v>
      </c>
    </row>
    <row r="209" spans="1:6" x14ac:dyDescent="0.3">
      <c r="A209" t="s">
        <v>28</v>
      </c>
      <c r="B209">
        <v>2021</v>
      </c>
      <c r="C209" t="s">
        <v>65</v>
      </c>
      <c r="D209" s="3">
        <v>334000000</v>
      </c>
      <c r="E209" t="s">
        <v>126</v>
      </c>
      <c r="F209">
        <v>1</v>
      </c>
    </row>
    <row r="210" spans="1:6" x14ac:dyDescent="0.3">
      <c r="A210" t="s">
        <v>28</v>
      </c>
      <c r="B210">
        <v>2021</v>
      </c>
      <c r="C210" t="s">
        <v>59</v>
      </c>
      <c r="D210" s="3">
        <v>105000000</v>
      </c>
      <c r="E210" t="s">
        <v>162</v>
      </c>
      <c r="F210">
        <v>2</v>
      </c>
    </row>
    <row r="211" spans="1:6" x14ac:dyDescent="0.3">
      <c r="A211" t="s">
        <v>28</v>
      </c>
      <c r="B211">
        <v>2021</v>
      </c>
      <c r="C211" t="s">
        <v>75</v>
      </c>
      <c r="D211" s="3">
        <v>74100000</v>
      </c>
      <c r="E211" t="s">
        <v>131</v>
      </c>
      <c r="F211">
        <v>3</v>
      </c>
    </row>
    <row r="212" spans="1:6" x14ac:dyDescent="0.3">
      <c r="A212" t="s">
        <v>28</v>
      </c>
      <c r="B212">
        <v>2022</v>
      </c>
      <c r="C212" t="s">
        <v>65</v>
      </c>
      <c r="D212" s="3">
        <v>301000000</v>
      </c>
      <c r="E212" t="s">
        <v>126</v>
      </c>
      <c r="F212">
        <v>1</v>
      </c>
    </row>
    <row r="213" spans="1:6" x14ac:dyDescent="0.3">
      <c r="A213" t="s">
        <v>28</v>
      </c>
      <c r="B213">
        <v>2022</v>
      </c>
      <c r="C213" t="s">
        <v>59</v>
      </c>
      <c r="D213" s="3">
        <v>123000000</v>
      </c>
      <c r="E213" t="s">
        <v>162</v>
      </c>
      <c r="F213">
        <v>2</v>
      </c>
    </row>
    <row r="214" spans="1:6" x14ac:dyDescent="0.3">
      <c r="A214" t="s">
        <v>28</v>
      </c>
      <c r="B214">
        <v>2022</v>
      </c>
      <c r="C214" t="s">
        <v>75</v>
      </c>
      <c r="D214" s="3">
        <v>99200000</v>
      </c>
      <c r="E214" t="s">
        <v>131</v>
      </c>
      <c r="F214">
        <v>3</v>
      </c>
    </row>
    <row r="215" spans="1:6" x14ac:dyDescent="0.3">
      <c r="A215" t="s">
        <v>28</v>
      </c>
      <c r="B215">
        <v>2023</v>
      </c>
      <c r="C215" t="s">
        <v>65</v>
      </c>
      <c r="D215" s="3">
        <v>336000000</v>
      </c>
      <c r="E215" t="s">
        <v>126</v>
      </c>
      <c r="F215">
        <v>1</v>
      </c>
    </row>
    <row r="216" spans="1:6" x14ac:dyDescent="0.3">
      <c r="A216" t="s">
        <v>28</v>
      </c>
      <c r="B216">
        <v>2023</v>
      </c>
      <c r="C216" t="s">
        <v>59</v>
      </c>
      <c r="D216" s="3">
        <v>124000000</v>
      </c>
      <c r="E216" t="s">
        <v>162</v>
      </c>
      <c r="F216">
        <v>2</v>
      </c>
    </row>
    <row r="217" spans="1:6" x14ac:dyDescent="0.3">
      <c r="A217" t="s">
        <v>28</v>
      </c>
      <c r="B217">
        <v>2023</v>
      </c>
      <c r="C217" t="s">
        <v>75</v>
      </c>
      <c r="D217" s="3">
        <v>123000000</v>
      </c>
      <c r="E217" t="s">
        <v>131</v>
      </c>
      <c r="F217">
        <v>3</v>
      </c>
    </row>
    <row r="218" spans="1:6" x14ac:dyDescent="0.3">
      <c r="A218" t="s">
        <v>29</v>
      </c>
      <c r="B218">
        <v>2021</v>
      </c>
      <c r="C218" t="s">
        <v>65</v>
      </c>
      <c r="D218" s="3">
        <v>35300000</v>
      </c>
      <c r="E218" t="s">
        <v>129</v>
      </c>
      <c r="F218">
        <v>1</v>
      </c>
    </row>
    <row r="219" spans="1:6" x14ac:dyDescent="0.3">
      <c r="A219" t="s">
        <v>29</v>
      </c>
      <c r="B219">
        <v>2021</v>
      </c>
      <c r="C219" t="s">
        <v>59</v>
      </c>
      <c r="D219" s="3">
        <v>10700000</v>
      </c>
      <c r="E219" t="s">
        <v>137</v>
      </c>
      <c r="F219">
        <v>2</v>
      </c>
    </row>
    <row r="220" spans="1:6" x14ac:dyDescent="0.3">
      <c r="A220" t="s">
        <v>29</v>
      </c>
      <c r="B220">
        <v>2021</v>
      </c>
      <c r="C220" t="s">
        <v>93</v>
      </c>
      <c r="D220" s="3">
        <v>4360000</v>
      </c>
      <c r="E220" t="s">
        <v>163</v>
      </c>
      <c r="F220">
        <v>3</v>
      </c>
    </row>
    <row r="221" spans="1:6" x14ac:dyDescent="0.3">
      <c r="A221" t="s">
        <v>29</v>
      </c>
      <c r="B221">
        <v>2022</v>
      </c>
      <c r="C221" t="s">
        <v>65</v>
      </c>
      <c r="D221" s="3">
        <v>17600000</v>
      </c>
      <c r="E221" t="s">
        <v>129</v>
      </c>
      <c r="F221">
        <v>1</v>
      </c>
    </row>
    <row r="222" spans="1:6" x14ac:dyDescent="0.3">
      <c r="A222" t="s">
        <v>29</v>
      </c>
      <c r="B222">
        <v>2022</v>
      </c>
      <c r="C222" t="s">
        <v>59</v>
      </c>
      <c r="D222" s="3">
        <v>11600000</v>
      </c>
      <c r="E222" t="s">
        <v>137</v>
      </c>
      <c r="F222">
        <v>2</v>
      </c>
    </row>
    <row r="223" spans="1:6" x14ac:dyDescent="0.3">
      <c r="A223" t="s">
        <v>29</v>
      </c>
      <c r="B223">
        <v>2022</v>
      </c>
      <c r="C223" t="s">
        <v>93</v>
      </c>
      <c r="D223" s="3">
        <v>4490000</v>
      </c>
      <c r="E223" t="s">
        <v>163</v>
      </c>
      <c r="F223">
        <v>3</v>
      </c>
    </row>
    <row r="224" spans="1:6" x14ac:dyDescent="0.3">
      <c r="A224" t="s">
        <v>29</v>
      </c>
      <c r="B224">
        <v>2023</v>
      </c>
      <c r="C224" t="s">
        <v>65</v>
      </c>
      <c r="D224" s="3">
        <v>45600000</v>
      </c>
      <c r="E224" t="s">
        <v>146</v>
      </c>
      <c r="F224">
        <v>1</v>
      </c>
    </row>
    <row r="225" spans="1:6" x14ac:dyDescent="0.3">
      <c r="A225" t="s">
        <v>29</v>
      </c>
      <c r="B225">
        <v>2023</v>
      </c>
      <c r="C225" t="s">
        <v>59</v>
      </c>
      <c r="D225" s="3">
        <v>8930000</v>
      </c>
      <c r="E225" t="s">
        <v>137</v>
      </c>
      <c r="F225">
        <v>2</v>
      </c>
    </row>
    <row r="226" spans="1:6" x14ac:dyDescent="0.3">
      <c r="A226" t="s">
        <v>29</v>
      </c>
      <c r="B226">
        <v>2023</v>
      </c>
      <c r="C226" t="s">
        <v>64</v>
      </c>
      <c r="D226" s="3">
        <v>5400000</v>
      </c>
      <c r="E226" t="s">
        <v>125</v>
      </c>
      <c r="F226">
        <v>3</v>
      </c>
    </row>
    <row r="227" spans="1:6" x14ac:dyDescent="0.3">
      <c r="A227" t="s">
        <v>30</v>
      </c>
      <c r="B227">
        <v>2021</v>
      </c>
      <c r="C227" t="s">
        <v>91</v>
      </c>
      <c r="D227" s="3">
        <v>950000000</v>
      </c>
      <c r="E227" t="s">
        <v>156</v>
      </c>
      <c r="F227">
        <v>1</v>
      </c>
    </row>
    <row r="228" spans="1:6" x14ac:dyDescent="0.3">
      <c r="A228" t="s">
        <v>30</v>
      </c>
      <c r="B228">
        <v>2021</v>
      </c>
      <c r="C228" t="s">
        <v>59</v>
      </c>
      <c r="D228" s="3">
        <v>502000000</v>
      </c>
      <c r="E228" t="s">
        <v>121</v>
      </c>
      <c r="F228">
        <v>2</v>
      </c>
    </row>
    <row r="229" spans="1:6" x14ac:dyDescent="0.3">
      <c r="A229" t="s">
        <v>30</v>
      </c>
      <c r="B229">
        <v>2021</v>
      </c>
      <c r="C229" t="s">
        <v>65</v>
      </c>
      <c r="D229" s="3">
        <v>276000000</v>
      </c>
      <c r="E229" t="s">
        <v>126</v>
      </c>
      <c r="F229">
        <v>3</v>
      </c>
    </row>
    <row r="230" spans="1:6" x14ac:dyDescent="0.3">
      <c r="A230" t="s">
        <v>30</v>
      </c>
      <c r="B230">
        <v>2022</v>
      </c>
      <c r="C230" t="s">
        <v>91</v>
      </c>
      <c r="D230" s="3">
        <v>1070000000</v>
      </c>
      <c r="E230" t="s">
        <v>156</v>
      </c>
      <c r="F230">
        <v>1</v>
      </c>
    </row>
    <row r="231" spans="1:6" x14ac:dyDescent="0.3">
      <c r="A231" t="s">
        <v>30</v>
      </c>
      <c r="B231">
        <v>2022</v>
      </c>
      <c r="C231" t="s">
        <v>59</v>
      </c>
      <c r="D231" s="3">
        <v>578000000</v>
      </c>
      <c r="E231" t="s">
        <v>121</v>
      </c>
      <c r="F231">
        <v>2</v>
      </c>
    </row>
    <row r="232" spans="1:6" x14ac:dyDescent="0.3">
      <c r="A232" t="s">
        <v>30</v>
      </c>
      <c r="B232">
        <v>2022</v>
      </c>
      <c r="C232" t="s">
        <v>75</v>
      </c>
      <c r="D232" s="3">
        <v>238000000</v>
      </c>
      <c r="E232" t="s">
        <v>20</v>
      </c>
      <c r="F232">
        <v>3</v>
      </c>
    </row>
    <row r="233" spans="1:6" x14ac:dyDescent="0.3">
      <c r="A233" t="s">
        <v>30</v>
      </c>
      <c r="B233">
        <v>2023</v>
      </c>
      <c r="C233" t="s">
        <v>91</v>
      </c>
      <c r="D233" s="3">
        <v>846000000</v>
      </c>
      <c r="E233" t="s">
        <v>156</v>
      </c>
      <c r="F233">
        <v>1</v>
      </c>
    </row>
    <row r="234" spans="1:6" x14ac:dyDescent="0.3">
      <c r="A234" t="s">
        <v>30</v>
      </c>
      <c r="B234">
        <v>2023</v>
      </c>
      <c r="C234" t="s">
        <v>59</v>
      </c>
      <c r="D234" s="3">
        <v>654000000</v>
      </c>
      <c r="E234" t="s">
        <v>121</v>
      </c>
      <c r="F234">
        <v>2</v>
      </c>
    </row>
    <row r="235" spans="1:6" x14ac:dyDescent="0.3">
      <c r="A235" t="s">
        <v>30</v>
      </c>
      <c r="B235">
        <v>2023</v>
      </c>
      <c r="C235" t="s">
        <v>75</v>
      </c>
      <c r="D235" s="3">
        <v>401000000</v>
      </c>
      <c r="E235" t="s">
        <v>131</v>
      </c>
      <c r="F235">
        <v>3</v>
      </c>
    </row>
    <row r="236" spans="1:6" x14ac:dyDescent="0.3">
      <c r="A236" t="s">
        <v>31</v>
      </c>
      <c r="B236">
        <v>2021</v>
      </c>
      <c r="C236" t="s">
        <v>94</v>
      </c>
      <c r="D236" s="3">
        <v>30100000</v>
      </c>
      <c r="E236" t="s">
        <v>50</v>
      </c>
      <c r="F236">
        <v>1</v>
      </c>
    </row>
    <row r="237" spans="1:6" x14ac:dyDescent="0.3">
      <c r="A237" t="s">
        <v>31</v>
      </c>
      <c r="B237">
        <v>2021</v>
      </c>
      <c r="C237" t="s">
        <v>64</v>
      </c>
      <c r="D237" s="3">
        <v>27500000</v>
      </c>
      <c r="E237" t="s">
        <v>50</v>
      </c>
      <c r="F237">
        <v>2</v>
      </c>
    </row>
    <row r="238" spans="1:6" x14ac:dyDescent="0.3">
      <c r="A238" t="s">
        <v>31</v>
      </c>
      <c r="B238">
        <v>2021</v>
      </c>
      <c r="C238" t="s">
        <v>62</v>
      </c>
      <c r="D238" s="3">
        <v>18100000</v>
      </c>
      <c r="E238" t="s">
        <v>50</v>
      </c>
      <c r="F238">
        <v>3</v>
      </c>
    </row>
    <row r="239" spans="1:6" x14ac:dyDescent="0.3">
      <c r="A239" t="s">
        <v>31</v>
      </c>
      <c r="B239">
        <v>2022</v>
      </c>
      <c r="C239" t="s">
        <v>94</v>
      </c>
      <c r="D239" s="3">
        <v>37600000</v>
      </c>
      <c r="E239" t="s">
        <v>50</v>
      </c>
      <c r="F239">
        <v>1</v>
      </c>
    </row>
    <row r="240" spans="1:6" x14ac:dyDescent="0.3">
      <c r="A240" t="s">
        <v>31</v>
      </c>
      <c r="B240">
        <v>2022</v>
      </c>
      <c r="C240" t="s">
        <v>64</v>
      </c>
      <c r="D240" s="3">
        <v>34400000</v>
      </c>
      <c r="E240" t="s">
        <v>50</v>
      </c>
      <c r="F240">
        <v>2</v>
      </c>
    </row>
    <row r="241" spans="1:6" x14ac:dyDescent="0.3">
      <c r="A241" t="s">
        <v>31</v>
      </c>
      <c r="B241">
        <v>2022</v>
      </c>
      <c r="C241" t="s">
        <v>59</v>
      </c>
      <c r="D241" s="3">
        <v>30100000</v>
      </c>
      <c r="E241" t="s">
        <v>50</v>
      </c>
      <c r="F241">
        <v>3</v>
      </c>
    </row>
    <row r="242" spans="1:6" x14ac:dyDescent="0.3">
      <c r="A242" t="s">
        <v>31</v>
      </c>
      <c r="B242">
        <v>2023</v>
      </c>
      <c r="C242" t="s">
        <v>94</v>
      </c>
      <c r="D242" s="3">
        <v>40100000</v>
      </c>
      <c r="E242" t="s">
        <v>50</v>
      </c>
      <c r="F242">
        <v>1</v>
      </c>
    </row>
    <row r="243" spans="1:6" x14ac:dyDescent="0.3">
      <c r="A243" t="s">
        <v>31</v>
      </c>
      <c r="B243">
        <v>2023</v>
      </c>
      <c r="C243" t="s">
        <v>64</v>
      </c>
      <c r="D243" s="3">
        <v>24900000</v>
      </c>
      <c r="E243" t="s">
        <v>50</v>
      </c>
      <c r="F243">
        <v>2</v>
      </c>
    </row>
    <row r="244" spans="1:6" x14ac:dyDescent="0.3">
      <c r="A244" t="s">
        <v>31</v>
      </c>
      <c r="B244">
        <v>2023</v>
      </c>
      <c r="C244" t="s">
        <v>62</v>
      </c>
      <c r="D244" s="3">
        <v>20400000</v>
      </c>
      <c r="E244" t="s">
        <v>50</v>
      </c>
      <c r="F244">
        <v>3</v>
      </c>
    </row>
    <row r="245" spans="1:6" x14ac:dyDescent="0.3">
      <c r="A245" t="s">
        <v>32</v>
      </c>
      <c r="B245">
        <v>2021</v>
      </c>
      <c r="C245" t="s">
        <v>65</v>
      </c>
      <c r="D245" s="3">
        <v>196000000</v>
      </c>
      <c r="E245" t="s">
        <v>164</v>
      </c>
      <c r="F245">
        <v>1</v>
      </c>
    </row>
    <row r="246" spans="1:6" x14ac:dyDescent="0.3">
      <c r="A246" t="s">
        <v>32</v>
      </c>
      <c r="B246">
        <v>2021</v>
      </c>
      <c r="C246" t="s">
        <v>64</v>
      </c>
      <c r="D246" s="3">
        <v>40400000</v>
      </c>
      <c r="E246" t="s">
        <v>165</v>
      </c>
      <c r="F246">
        <v>2</v>
      </c>
    </row>
    <row r="247" spans="1:6" x14ac:dyDescent="0.3">
      <c r="A247" t="s">
        <v>32</v>
      </c>
      <c r="B247">
        <v>2021</v>
      </c>
      <c r="C247" t="s">
        <v>78</v>
      </c>
      <c r="D247" s="3">
        <v>26900000</v>
      </c>
      <c r="E247" t="s">
        <v>28</v>
      </c>
      <c r="F247">
        <v>3</v>
      </c>
    </row>
    <row r="248" spans="1:6" x14ac:dyDescent="0.3">
      <c r="A248" t="s">
        <v>32</v>
      </c>
      <c r="B248">
        <v>2022</v>
      </c>
      <c r="C248" t="s">
        <v>65</v>
      </c>
      <c r="D248" s="3">
        <v>197000000</v>
      </c>
      <c r="E248" t="s">
        <v>164</v>
      </c>
      <c r="F248">
        <v>1</v>
      </c>
    </row>
    <row r="249" spans="1:6" x14ac:dyDescent="0.3">
      <c r="A249" t="s">
        <v>32</v>
      </c>
      <c r="B249">
        <v>2022</v>
      </c>
      <c r="C249" t="s">
        <v>64</v>
      </c>
      <c r="D249" s="3">
        <v>39300000</v>
      </c>
      <c r="E249" t="s">
        <v>165</v>
      </c>
      <c r="F249">
        <v>2</v>
      </c>
    </row>
    <row r="250" spans="1:6" x14ac:dyDescent="0.3">
      <c r="A250" t="s">
        <v>32</v>
      </c>
      <c r="B250">
        <v>2022</v>
      </c>
      <c r="C250" t="s">
        <v>78</v>
      </c>
      <c r="D250" s="3">
        <v>23300000</v>
      </c>
      <c r="E250" t="s">
        <v>37</v>
      </c>
      <c r="F250">
        <v>3</v>
      </c>
    </row>
    <row r="251" spans="1:6" x14ac:dyDescent="0.3">
      <c r="A251" t="s">
        <v>32</v>
      </c>
      <c r="B251">
        <v>2023</v>
      </c>
      <c r="C251" t="s">
        <v>65</v>
      </c>
      <c r="D251" s="3">
        <v>218000000</v>
      </c>
      <c r="E251" t="s">
        <v>164</v>
      </c>
      <c r="F251">
        <v>1</v>
      </c>
    </row>
    <row r="252" spans="1:6" x14ac:dyDescent="0.3">
      <c r="A252" t="s">
        <v>32</v>
      </c>
      <c r="B252">
        <v>2023</v>
      </c>
      <c r="C252" t="s">
        <v>64</v>
      </c>
      <c r="D252" s="3">
        <v>44100000</v>
      </c>
      <c r="E252" t="s">
        <v>165</v>
      </c>
      <c r="F252">
        <v>2</v>
      </c>
    </row>
    <row r="253" spans="1:6" x14ac:dyDescent="0.3">
      <c r="A253" t="s">
        <v>32</v>
      </c>
      <c r="B253">
        <v>2023</v>
      </c>
      <c r="C253" t="s">
        <v>78</v>
      </c>
      <c r="D253" s="3">
        <v>28200000</v>
      </c>
      <c r="E253" t="s">
        <v>37</v>
      </c>
      <c r="F253">
        <v>3</v>
      </c>
    </row>
    <row r="254" spans="1:6" x14ac:dyDescent="0.3">
      <c r="A254" t="s">
        <v>33</v>
      </c>
      <c r="B254">
        <v>2021</v>
      </c>
      <c r="C254" t="s">
        <v>59</v>
      </c>
      <c r="D254" s="3">
        <v>353000000</v>
      </c>
      <c r="E254" t="s">
        <v>157</v>
      </c>
      <c r="F254">
        <v>1</v>
      </c>
    </row>
    <row r="255" spans="1:6" x14ac:dyDescent="0.3">
      <c r="A255" t="s">
        <v>33</v>
      </c>
      <c r="B255">
        <v>2021</v>
      </c>
      <c r="C255" t="s">
        <v>95</v>
      </c>
      <c r="D255" s="3">
        <v>224000000</v>
      </c>
      <c r="E255" t="s">
        <v>121</v>
      </c>
      <c r="F255">
        <v>2</v>
      </c>
    </row>
    <row r="256" spans="1:6" x14ac:dyDescent="0.3">
      <c r="A256" t="s">
        <v>33</v>
      </c>
      <c r="B256">
        <v>2021</v>
      </c>
      <c r="C256" t="s">
        <v>60</v>
      </c>
      <c r="D256" s="3">
        <v>223000000</v>
      </c>
      <c r="E256" t="s">
        <v>138</v>
      </c>
      <c r="F256">
        <v>3</v>
      </c>
    </row>
    <row r="257" spans="1:6" x14ac:dyDescent="0.3">
      <c r="A257" t="s">
        <v>33</v>
      </c>
      <c r="B257">
        <v>2022</v>
      </c>
      <c r="C257" t="s">
        <v>96</v>
      </c>
      <c r="D257" s="3">
        <v>213000000</v>
      </c>
      <c r="E257" t="s">
        <v>164</v>
      </c>
      <c r="F257">
        <v>1</v>
      </c>
    </row>
    <row r="258" spans="1:6" x14ac:dyDescent="0.3">
      <c r="A258" t="s">
        <v>33</v>
      </c>
      <c r="B258">
        <v>2022</v>
      </c>
      <c r="C258" t="s">
        <v>64</v>
      </c>
      <c r="D258" s="3">
        <v>201000000</v>
      </c>
      <c r="E258" t="s">
        <v>131</v>
      </c>
      <c r="F258">
        <v>2</v>
      </c>
    </row>
    <row r="259" spans="1:6" x14ac:dyDescent="0.3">
      <c r="A259" t="s">
        <v>33</v>
      </c>
      <c r="B259">
        <v>2022</v>
      </c>
      <c r="C259" t="s">
        <v>60</v>
      </c>
      <c r="D259" s="3">
        <v>179000000</v>
      </c>
      <c r="E259" t="s">
        <v>166</v>
      </c>
      <c r="F259">
        <v>3</v>
      </c>
    </row>
    <row r="260" spans="1:6" x14ac:dyDescent="0.3">
      <c r="A260" t="s">
        <v>33</v>
      </c>
      <c r="B260">
        <v>2023</v>
      </c>
      <c r="C260" t="s">
        <v>96</v>
      </c>
      <c r="D260" s="3">
        <v>252000000</v>
      </c>
      <c r="E260" t="s">
        <v>164</v>
      </c>
      <c r="F260">
        <v>1</v>
      </c>
    </row>
    <row r="261" spans="1:6" x14ac:dyDescent="0.3">
      <c r="A261" t="s">
        <v>33</v>
      </c>
      <c r="B261">
        <v>2023</v>
      </c>
      <c r="C261" t="s">
        <v>60</v>
      </c>
      <c r="D261" s="3">
        <v>208000000</v>
      </c>
      <c r="E261" t="s">
        <v>143</v>
      </c>
      <c r="F261">
        <v>2</v>
      </c>
    </row>
    <row r="262" spans="1:6" x14ac:dyDescent="0.3">
      <c r="A262" t="s">
        <v>33</v>
      </c>
      <c r="B262">
        <v>2023</v>
      </c>
      <c r="C262" t="s">
        <v>97</v>
      </c>
      <c r="D262" s="3">
        <v>172000000</v>
      </c>
      <c r="E262" t="s">
        <v>137</v>
      </c>
      <c r="F262">
        <v>3</v>
      </c>
    </row>
    <row r="263" spans="1:6" x14ac:dyDescent="0.3">
      <c r="A263" t="s">
        <v>34</v>
      </c>
      <c r="B263">
        <v>2021</v>
      </c>
      <c r="C263" t="s">
        <v>65</v>
      </c>
      <c r="D263" s="3">
        <v>271000000</v>
      </c>
      <c r="E263" t="s">
        <v>126</v>
      </c>
      <c r="F263">
        <v>1</v>
      </c>
    </row>
    <row r="264" spans="1:6" x14ac:dyDescent="0.3">
      <c r="A264" t="s">
        <v>34</v>
      </c>
      <c r="B264">
        <v>2021</v>
      </c>
      <c r="C264" t="s">
        <v>84</v>
      </c>
      <c r="D264" s="3">
        <v>115000000</v>
      </c>
      <c r="E264" t="s">
        <v>121</v>
      </c>
      <c r="F264">
        <v>2</v>
      </c>
    </row>
    <row r="265" spans="1:6" x14ac:dyDescent="0.3">
      <c r="A265" t="s">
        <v>34</v>
      </c>
      <c r="B265">
        <v>2021</v>
      </c>
      <c r="C265" t="s">
        <v>59</v>
      </c>
      <c r="D265" s="3">
        <v>97900000</v>
      </c>
      <c r="E265" t="s">
        <v>148</v>
      </c>
      <c r="F265">
        <v>3</v>
      </c>
    </row>
    <row r="266" spans="1:6" x14ac:dyDescent="0.3">
      <c r="A266" t="s">
        <v>34</v>
      </c>
      <c r="B266">
        <v>2022</v>
      </c>
      <c r="C266" t="s">
        <v>65</v>
      </c>
      <c r="D266" s="3">
        <v>336000000</v>
      </c>
      <c r="E266" t="s">
        <v>126</v>
      </c>
      <c r="F266">
        <v>1</v>
      </c>
    </row>
    <row r="267" spans="1:6" x14ac:dyDescent="0.3">
      <c r="A267" t="s">
        <v>34</v>
      </c>
      <c r="B267">
        <v>2022</v>
      </c>
      <c r="C267" t="s">
        <v>84</v>
      </c>
      <c r="D267" s="3">
        <v>168000000</v>
      </c>
      <c r="E267" t="s">
        <v>120</v>
      </c>
      <c r="F267">
        <v>2</v>
      </c>
    </row>
    <row r="268" spans="1:6" x14ac:dyDescent="0.3">
      <c r="A268" t="s">
        <v>34</v>
      </c>
      <c r="B268">
        <v>2022</v>
      </c>
      <c r="C268" t="s">
        <v>59</v>
      </c>
      <c r="D268" s="3">
        <v>106000000</v>
      </c>
      <c r="E268" t="s">
        <v>148</v>
      </c>
      <c r="F268">
        <v>3</v>
      </c>
    </row>
    <row r="269" spans="1:6" x14ac:dyDescent="0.3">
      <c r="A269" t="s">
        <v>34</v>
      </c>
      <c r="B269">
        <v>2023</v>
      </c>
      <c r="C269" t="s">
        <v>65</v>
      </c>
      <c r="D269" s="3">
        <v>223000000</v>
      </c>
      <c r="E269" t="s">
        <v>126</v>
      </c>
      <c r="F269">
        <v>1</v>
      </c>
    </row>
    <row r="270" spans="1:6" x14ac:dyDescent="0.3">
      <c r="A270" t="s">
        <v>34</v>
      </c>
      <c r="B270">
        <v>2023</v>
      </c>
      <c r="C270" t="s">
        <v>59</v>
      </c>
      <c r="D270" s="3">
        <v>119000000</v>
      </c>
      <c r="E270" t="s">
        <v>140</v>
      </c>
      <c r="F270">
        <v>2</v>
      </c>
    </row>
    <row r="271" spans="1:6" x14ac:dyDescent="0.3">
      <c r="A271" t="s">
        <v>34</v>
      </c>
      <c r="B271">
        <v>2023</v>
      </c>
      <c r="C271" t="s">
        <v>84</v>
      </c>
      <c r="D271" s="3">
        <v>118000000</v>
      </c>
      <c r="E271" t="s">
        <v>148</v>
      </c>
      <c r="F271">
        <v>3</v>
      </c>
    </row>
    <row r="272" spans="1:6" x14ac:dyDescent="0.3">
      <c r="A272" t="s">
        <v>35</v>
      </c>
      <c r="B272">
        <v>2021</v>
      </c>
      <c r="C272" t="s">
        <v>59</v>
      </c>
      <c r="D272" s="3">
        <v>73000000</v>
      </c>
      <c r="E272" t="s">
        <v>159</v>
      </c>
      <c r="F272">
        <v>1</v>
      </c>
    </row>
    <row r="273" spans="1:6" x14ac:dyDescent="0.3">
      <c r="A273" t="s">
        <v>35</v>
      </c>
      <c r="B273">
        <v>2021</v>
      </c>
      <c r="C273" t="s">
        <v>84</v>
      </c>
      <c r="D273" s="3">
        <v>43800000</v>
      </c>
      <c r="E273" t="s">
        <v>148</v>
      </c>
      <c r="F273">
        <v>2</v>
      </c>
    </row>
    <row r="274" spans="1:6" x14ac:dyDescent="0.3">
      <c r="A274" t="s">
        <v>35</v>
      </c>
      <c r="B274">
        <v>2021</v>
      </c>
      <c r="C274" t="s">
        <v>93</v>
      </c>
      <c r="D274" s="3">
        <v>14000000</v>
      </c>
      <c r="E274" t="s">
        <v>120</v>
      </c>
      <c r="F274">
        <v>3</v>
      </c>
    </row>
    <row r="275" spans="1:6" x14ac:dyDescent="0.3">
      <c r="A275" t="s">
        <v>35</v>
      </c>
      <c r="B275">
        <v>2022</v>
      </c>
      <c r="C275" t="s">
        <v>84</v>
      </c>
      <c r="D275" s="3">
        <v>42400000</v>
      </c>
      <c r="E275" t="s">
        <v>120</v>
      </c>
      <c r="F275">
        <v>1</v>
      </c>
    </row>
    <row r="276" spans="1:6" x14ac:dyDescent="0.3">
      <c r="A276" t="s">
        <v>35</v>
      </c>
      <c r="B276">
        <v>2022</v>
      </c>
      <c r="C276" t="s">
        <v>59</v>
      </c>
      <c r="D276" s="3">
        <v>22600000</v>
      </c>
      <c r="E276" t="s">
        <v>148</v>
      </c>
      <c r="F276">
        <v>2</v>
      </c>
    </row>
    <row r="277" spans="1:6" x14ac:dyDescent="0.3">
      <c r="A277" t="s">
        <v>35</v>
      </c>
      <c r="B277">
        <v>2022</v>
      </c>
      <c r="C277" t="s">
        <v>98</v>
      </c>
      <c r="D277" s="3">
        <v>8800000</v>
      </c>
      <c r="E277" t="s">
        <v>136</v>
      </c>
      <c r="F277">
        <v>3</v>
      </c>
    </row>
    <row r="278" spans="1:6" x14ac:dyDescent="0.3">
      <c r="A278" t="s">
        <v>35</v>
      </c>
      <c r="B278">
        <v>2023</v>
      </c>
      <c r="C278" t="s">
        <v>84</v>
      </c>
      <c r="D278" s="3">
        <v>44000000</v>
      </c>
      <c r="E278" t="s">
        <v>121</v>
      </c>
      <c r="F278">
        <v>1</v>
      </c>
    </row>
    <row r="279" spans="1:6" x14ac:dyDescent="0.3">
      <c r="A279" t="s">
        <v>35</v>
      </c>
      <c r="B279">
        <v>2023</v>
      </c>
      <c r="C279" t="s">
        <v>59</v>
      </c>
      <c r="D279" s="3">
        <v>35100000</v>
      </c>
      <c r="E279" t="s">
        <v>148</v>
      </c>
      <c r="F279">
        <v>2</v>
      </c>
    </row>
    <row r="280" spans="1:6" x14ac:dyDescent="0.3">
      <c r="A280" t="s">
        <v>35</v>
      </c>
      <c r="B280">
        <v>2023</v>
      </c>
      <c r="C280" t="s">
        <v>62</v>
      </c>
      <c r="D280" s="3">
        <v>14200000</v>
      </c>
      <c r="E280" t="s">
        <v>167</v>
      </c>
      <c r="F280">
        <v>3</v>
      </c>
    </row>
    <row r="281" spans="1:6" x14ac:dyDescent="0.3">
      <c r="A281" t="s">
        <v>36</v>
      </c>
      <c r="B281">
        <v>2021</v>
      </c>
      <c r="C281" t="s">
        <v>99</v>
      </c>
      <c r="D281" s="3">
        <v>118000000</v>
      </c>
      <c r="E281" t="s">
        <v>142</v>
      </c>
      <c r="F281">
        <v>1</v>
      </c>
    </row>
    <row r="282" spans="1:6" x14ac:dyDescent="0.3">
      <c r="A282" t="s">
        <v>36</v>
      </c>
      <c r="B282">
        <v>2021</v>
      </c>
      <c r="C282" t="s">
        <v>59</v>
      </c>
      <c r="D282" s="3">
        <v>81500000</v>
      </c>
      <c r="E282" t="s">
        <v>119</v>
      </c>
      <c r="F282">
        <v>2</v>
      </c>
    </row>
    <row r="283" spans="1:6" x14ac:dyDescent="0.3">
      <c r="A283" t="s">
        <v>36</v>
      </c>
      <c r="B283">
        <v>2021</v>
      </c>
      <c r="C283" t="s">
        <v>84</v>
      </c>
      <c r="D283" s="3">
        <v>81300000</v>
      </c>
      <c r="E283" t="s">
        <v>168</v>
      </c>
      <c r="F283">
        <v>3</v>
      </c>
    </row>
    <row r="284" spans="1:6" x14ac:dyDescent="0.3">
      <c r="A284" t="s">
        <v>36</v>
      </c>
      <c r="B284">
        <v>2022</v>
      </c>
      <c r="C284" t="s">
        <v>99</v>
      </c>
      <c r="D284" s="3">
        <v>151000000</v>
      </c>
      <c r="E284" t="s">
        <v>142</v>
      </c>
      <c r="F284">
        <v>1</v>
      </c>
    </row>
    <row r="285" spans="1:6" x14ac:dyDescent="0.3">
      <c r="A285" t="s">
        <v>36</v>
      </c>
      <c r="B285">
        <v>2022</v>
      </c>
      <c r="C285" t="s">
        <v>59</v>
      </c>
      <c r="D285" s="3">
        <v>102000000</v>
      </c>
      <c r="E285" t="s">
        <v>119</v>
      </c>
      <c r="F285">
        <v>2</v>
      </c>
    </row>
    <row r="286" spans="1:6" x14ac:dyDescent="0.3">
      <c r="A286" t="s">
        <v>36</v>
      </c>
      <c r="B286">
        <v>2022</v>
      </c>
      <c r="C286" t="s">
        <v>100</v>
      </c>
      <c r="D286" s="3">
        <v>1700000</v>
      </c>
      <c r="E286" t="s">
        <v>46</v>
      </c>
      <c r="F286">
        <v>3</v>
      </c>
    </row>
    <row r="287" spans="1:6" x14ac:dyDescent="0.3">
      <c r="A287" t="s">
        <v>36</v>
      </c>
      <c r="B287">
        <v>2023</v>
      </c>
      <c r="C287" t="s">
        <v>84</v>
      </c>
      <c r="D287" s="3">
        <v>91800000</v>
      </c>
      <c r="E287" t="s">
        <v>168</v>
      </c>
      <c r="F287">
        <v>1</v>
      </c>
    </row>
    <row r="288" spans="1:6" x14ac:dyDescent="0.3">
      <c r="A288" t="s">
        <v>36</v>
      </c>
      <c r="B288">
        <v>2023</v>
      </c>
      <c r="C288" t="s">
        <v>101</v>
      </c>
      <c r="D288" s="3">
        <v>89500000</v>
      </c>
      <c r="E288" t="s">
        <v>46</v>
      </c>
      <c r="F288">
        <v>2</v>
      </c>
    </row>
    <row r="289" spans="1:6" x14ac:dyDescent="0.3">
      <c r="A289" t="s">
        <v>36</v>
      </c>
      <c r="B289">
        <v>2023</v>
      </c>
      <c r="C289" t="s">
        <v>98</v>
      </c>
      <c r="D289" s="3">
        <v>89500000</v>
      </c>
      <c r="E289" t="s">
        <v>142</v>
      </c>
      <c r="F289">
        <v>3</v>
      </c>
    </row>
    <row r="290" spans="1:6" x14ac:dyDescent="0.3">
      <c r="A290" t="s">
        <v>37</v>
      </c>
      <c r="B290">
        <v>2021</v>
      </c>
      <c r="C290" t="s">
        <v>59</v>
      </c>
      <c r="D290" s="3">
        <v>183000000</v>
      </c>
      <c r="E290" t="s">
        <v>157</v>
      </c>
      <c r="F290">
        <v>1</v>
      </c>
    </row>
    <row r="291" spans="1:6" x14ac:dyDescent="0.3">
      <c r="A291" t="s">
        <v>37</v>
      </c>
      <c r="B291">
        <v>2021</v>
      </c>
      <c r="C291" t="s">
        <v>91</v>
      </c>
      <c r="D291" s="3">
        <v>157000000</v>
      </c>
      <c r="E291" t="s">
        <v>150</v>
      </c>
      <c r="F291">
        <v>2</v>
      </c>
    </row>
    <row r="292" spans="1:6" x14ac:dyDescent="0.3">
      <c r="A292" t="s">
        <v>37</v>
      </c>
      <c r="B292">
        <v>2021</v>
      </c>
      <c r="C292" t="s">
        <v>102</v>
      </c>
      <c r="D292" s="3">
        <v>143000000</v>
      </c>
      <c r="E292" t="s">
        <v>150</v>
      </c>
      <c r="F292">
        <v>3</v>
      </c>
    </row>
    <row r="293" spans="1:6" x14ac:dyDescent="0.3">
      <c r="A293" t="s">
        <v>37</v>
      </c>
      <c r="B293">
        <v>2022</v>
      </c>
      <c r="C293" t="s">
        <v>59</v>
      </c>
      <c r="D293" s="3">
        <v>277000000</v>
      </c>
      <c r="E293" t="s">
        <v>120</v>
      </c>
      <c r="F293">
        <v>1</v>
      </c>
    </row>
    <row r="294" spans="1:6" x14ac:dyDescent="0.3">
      <c r="A294" t="s">
        <v>37</v>
      </c>
      <c r="B294">
        <v>2022</v>
      </c>
      <c r="C294" t="s">
        <v>75</v>
      </c>
      <c r="D294" s="3">
        <v>223000000</v>
      </c>
      <c r="E294" t="s">
        <v>131</v>
      </c>
      <c r="F294">
        <v>2</v>
      </c>
    </row>
    <row r="295" spans="1:6" x14ac:dyDescent="0.3">
      <c r="A295" t="s">
        <v>37</v>
      </c>
      <c r="B295">
        <v>2022</v>
      </c>
      <c r="C295" t="s">
        <v>91</v>
      </c>
      <c r="D295" s="3">
        <v>154000000</v>
      </c>
      <c r="E295" t="s">
        <v>150</v>
      </c>
      <c r="F295">
        <v>3</v>
      </c>
    </row>
    <row r="296" spans="1:6" x14ac:dyDescent="0.3">
      <c r="A296" t="s">
        <v>37</v>
      </c>
      <c r="B296">
        <v>2023</v>
      </c>
      <c r="C296" t="s">
        <v>75</v>
      </c>
      <c r="D296" s="3">
        <v>278000000</v>
      </c>
      <c r="E296" t="s">
        <v>169</v>
      </c>
      <c r="F296">
        <v>1</v>
      </c>
    </row>
    <row r="297" spans="1:6" x14ac:dyDescent="0.3">
      <c r="A297" t="s">
        <v>37</v>
      </c>
      <c r="B297">
        <v>2023</v>
      </c>
      <c r="C297" t="s">
        <v>91</v>
      </c>
      <c r="D297" s="3">
        <v>222000000</v>
      </c>
      <c r="E297" t="s">
        <v>150</v>
      </c>
      <c r="F297">
        <v>2</v>
      </c>
    </row>
    <row r="298" spans="1:6" x14ac:dyDescent="0.3">
      <c r="A298" t="s">
        <v>37</v>
      </c>
      <c r="B298">
        <v>2023</v>
      </c>
      <c r="C298" t="s">
        <v>59</v>
      </c>
      <c r="D298" s="3">
        <v>209000000</v>
      </c>
      <c r="E298" t="s">
        <v>119</v>
      </c>
      <c r="F298">
        <v>3</v>
      </c>
    </row>
    <row r="299" spans="1:6" x14ac:dyDescent="0.3">
      <c r="A299" t="s">
        <v>38</v>
      </c>
      <c r="B299">
        <v>2021</v>
      </c>
      <c r="C299" t="s">
        <v>78</v>
      </c>
      <c r="D299" s="3">
        <v>199000000</v>
      </c>
      <c r="E299" t="s">
        <v>47</v>
      </c>
      <c r="F299">
        <v>1</v>
      </c>
    </row>
    <row r="300" spans="1:6" x14ac:dyDescent="0.3">
      <c r="A300" t="s">
        <v>38</v>
      </c>
      <c r="B300">
        <v>2021</v>
      </c>
      <c r="C300" t="s">
        <v>60</v>
      </c>
      <c r="D300" s="3">
        <v>61800000</v>
      </c>
      <c r="E300" t="s">
        <v>123</v>
      </c>
      <c r="F300">
        <v>2</v>
      </c>
    </row>
    <row r="301" spans="1:6" x14ac:dyDescent="0.3">
      <c r="A301" t="s">
        <v>38</v>
      </c>
      <c r="B301">
        <v>2021</v>
      </c>
      <c r="C301" t="s">
        <v>59</v>
      </c>
      <c r="D301" s="3">
        <v>48000000</v>
      </c>
      <c r="E301" t="s">
        <v>119</v>
      </c>
      <c r="F301">
        <v>3</v>
      </c>
    </row>
    <row r="302" spans="1:6" x14ac:dyDescent="0.3">
      <c r="A302" t="s">
        <v>38</v>
      </c>
      <c r="B302">
        <v>2022</v>
      </c>
      <c r="C302" t="s">
        <v>78</v>
      </c>
      <c r="D302" s="3">
        <v>218000000</v>
      </c>
      <c r="E302" t="s">
        <v>47</v>
      </c>
      <c r="F302">
        <v>1</v>
      </c>
    </row>
    <row r="303" spans="1:6" x14ac:dyDescent="0.3">
      <c r="A303" t="s">
        <v>38</v>
      </c>
      <c r="B303">
        <v>2022</v>
      </c>
      <c r="C303" t="s">
        <v>60</v>
      </c>
      <c r="D303" s="3">
        <v>84800000</v>
      </c>
      <c r="E303" t="s">
        <v>123</v>
      </c>
      <c r="F303">
        <v>2</v>
      </c>
    </row>
    <row r="304" spans="1:6" x14ac:dyDescent="0.3">
      <c r="A304" t="s">
        <v>38</v>
      </c>
      <c r="B304">
        <v>2022</v>
      </c>
      <c r="C304" t="s">
        <v>65</v>
      </c>
      <c r="D304" s="3">
        <v>55000000</v>
      </c>
      <c r="E304" t="s">
        <v>126</v>
      </c>
      <c r="F304">
        <v>3</v>
      </c>
    </row>
    <row r="305" spans="1:6" x14ac:dyDescent="0.3">
      <c r="A305" t="s">
        <v>38</v>
      </c>
      <c r="B305">
        <v>2023</v>
      </c>
      <c r="C305" t="s">
        <v>78</v>
      </c>
      <c r="D305" s="3">
        <v>228000000</v>
      </c>
      <c r="E305" t="s">
        <v>47</v>
      </c>
      <c r="F305">
        <v>1</v>
      </c>
    </row>
    <row r="306" spans="1:6" x14ac:dyDescent="0.3">
      <c r="A306" t="s">
        <v>38</v>
      </c>
      <c r="B306">
        <v>2023</v>
      </c>
      <c r="C306" t="s">
        <v>75</v>
      </c>
      <c r="D306" s="3">
        <v>71600000</v>
      </c>
      <c r="E306" t="s">
        <v>131</v>
      </c>
      <c r="F306">
        <v>2</v>
      </c>
    </row>
    <row r="307" spans="1:6" x14ac:dyDescent="0.3">
      <c r="A307" t="s">
        <v>38</v>
      </c>
      <c r="B307">
        <v>2023</v>
      </c>
      <c r="C307" t="s">
        <v>60</v>
      </c>
      <c r="D307" s="3">
        <v>65200000</v>
      </c>
      <c r="E307" t="s">
        <v>123</v>
      </c>
      <c r="F307">
        <v>3</v>
      </c>
    </row>
    <row r="308" spans="1:6" x14ac:dyDescent="0.3">
      <c r="A308" t="s">
        <v>39</v>
      </c>
      <c r="B308">
        <v>2021</v>
      </c>
      <c r="C308" t="s">
        <v>59</v>
      </c>
      <c r="D308" s="3">
        <v>1510000000</v>
      </c>
      <c r="E308" t="s">
        <v>119</v>
      </c>
      <c r="F308">
        <v>1</v>
      </c>
    </row>
    <row r="309" spans="1:6" x14ac:dyDescent="0.3">
      <c r="A309" t="s">
        <v>39</v>
      </c>
      <c r="B309">
        <v>2021</v>
      </c>
      <c r="C309" t="s">
        <v>93</v>
      </c>
      <c r="D309" s="3">
        <v>586000000</v>
      </c>
      <c r="E309" t="s">
        <v>120</v>
      </c>
      <c r="F309">
        <v>2</v>
      </c>
    </row>
    <row r="310" spans="1:6" x14ac:dyDescent="0.3">
      <c r="A310" t="s">
        <v>39</v>
      </c>
      <c r="B310">
        <v>2021</v>
      </c>
      <c r="C310" t="s">
        <v>62</v>
      </c>
      <c r="D310" s="3">
        <v>566000000</v>
      </c>
      <c r="E310" t="s">
        <v>170</v>
      </c>
      <c r="F310">
        <v>3</v>
      </c>
    </row>
    <row r="311" spans="1:6" x14ac:dyDescent="0.3">
      <c r="A311" t="s">
        <v>39</v>
      </c>
      <c r="B311">
        <v>2022</v>
      </c>
      <c r="C311" t="s">
        <v>59</v>
      </c>
      <c r="D311" s="3">
        <v>2410000000</v>
      </c>
      <c r="E311" t="s">
        <v>119</v>
      </c>
      <c r="F311">
        <v>1</v>
      </c>
    </row>
    <row r="312" spans="1:6" x14ac:dyDescent="0.3">
      <c r="A312" t="s">
        <v>39</v>
      </c>
      <c r="B312">
        <v>2022</v>
      </c>
      <c r="C312" t="s">
        <v>103</v>
      </c>
      <c r="D312" s="3">
        <v>733000000</v>
      </c>
      <c r="E312" t="s">
        <v>120</v>
      </c>
      <c r="F312">
        <v>2</v>
      </c>
    </row>
    <row r="313" spans="1:6" x14ac:dyDescent="0.3">
      <c r="A313" t="s">
        <v>39</v>
      </c>
      <c r="B313">
        <v>2022</v>
      </c>
      <c r="C313" t="s">
        <v>62</v>
      </c>
      <c r="D313" s="3">
        <v>634000000</v>
      </c>
      <c r="E313" t="s">
        <v>131</v>
      </c>
      <c r="F313">
        <v>3</v>
      </c>
    </row>
    <row r="314" spans="1:6" x14ac:dyDescent="0.3">
      <c r="A314" t="s">
        <v>39</v>
      </c>
      <c r="B314">
        <v>2023</v>
      </c>
      <c r="C314" t="s">
        <v>59</v>
      </c>
      <c r="D314" s="3">
        <v>1840000000</v>
      </c>
      <c r="E314" t="s">
        <v>119</v>
      </c>
      <c r="F314">
        <v>1</v>
      </c>
    </row>
    <row r="315" spans="1:6" x14ac:dyDescent="0.3">
      <c r="A315" t="s">
        <v>39</v>
      </c>
      <c r="B315">
        <v>2023</v>
      </c>
      <c r="C315" t="s">
        <v>103</v>
      </c>
      <c r="D315" s="3">
        <v>888000000</v>
      </c>
      <c r="E315" t="s">
        <v>131</v>
      </c>
      <c r="F315">
        <v>2</v>
      </c>
    </row>
    <row r="316" spans="1:6" x14ac:dyDescent="0.3">
      <c r="A316" t="s">
        <v>39</v>
      </c>
      <c r="B316">
        <v>2023</v>
      </c>
      <c r="C316" t="s">
        <v>62</v>
      </c>
      <c r="D316" s="3">
        <v>666000000</v>
      </c>
      <c r="E316" t="s">
        <v>131</v>
      </c>
      <c r="F316">
        <v>3</v>
      </c>
    </row>
    <row r="317" spans="1:6" x14ac:dyDescent="0.3">
      <c r="A317" t="s">
        <v>40</v>
      </c>
      <c r="B317">
        <v>2021</v>
      </c>
      <c r="C317" t="s">
        <v>84</v>
      </c>
      <c r="D317" s="3">
        <v>535000000</v>
      </c>
      <c r="E317" t="s">
        <v>126</v>
      </c>
      <c r="F317">
        <v>1</v>
      </c>
    </row>
    <row r="318" spans="1:6" x14ac:dyDescent="0.3">
      <c r="A318" t="s">
        <v>40</v>
      </c>
      <c r="B318">
        <v>2021</v>
      </c>
      <c r="C318" t="s">
        <v>65</v>
      </c>
      <c r="D318" s="3">
        <v>374000000</v>
      </c>
      <c r="E318" t="s">
        <v>171</v>
      </c>
      <c r="F318">
        <v>2</v>
      </c>
    </row>
    <row r="319" spans="1:6" x14ac:dyDescent="0.3">
      <c r="A319" t="s">
        <v>40</v>
      </c>
      <c r="B319">
        <v>2021</v>
      </c>
      <c r="C319" t="s">
        <v>59</v>
      </c>
      <c r="D319" s="3">
        <v>225000000</v>
      </c>
      <c r="E319" t="s">
        <v>148</v>
      </c>
      <c r="F319">
        <v>3</v>
      </c>
    </row>
    <row r="320" spans="1:6" x14ac:dyDescent="0.3">
      <c r="A320" t="s">
        <v>40</v>
      </c>
      <c r="B320">
        <v>2022</v>
      </c>
      <c r="C320" t="s">
        <v>84</v>
      </c>
      <c r="D320" s="3">
        <v>380000000</v>
      </c>
      <c r="E320" t="s">
        <v>126</v>
      </c>
      <c r="F320">
        <v>1</v>
      </c>
    </row>
    <row r="321" spans="1:6" x14ac:dyDescent="0.3">
      <c r="A321" t="s">
        <v>40</v>
      </c>
      <c r="B321">
        <v>2022</v>
      </c>
      <c r="C321" t="s">
        <v>65</v>
      </c>
      <c r="D321" s="3">
        <v>305000000</v>
      </c>
      <c r="E321" t="s">
        <v>171</v>
      </c>
      <c r="F321">
        <v>2</v>
      </c>
    </row>
    <row r="322" spans="1:6" x14ac:dyDescent="0.3">
      <c r="A322" t="s">
        <v>40</v>
      </c>
      <c r="B322">
        <v>2022</v>
      </c>
      <c r="C322" t="s">
        <v>59</v>
      </c>
      <c r="D322" s="3">
        <v>270000000</v>
      </c>
      <c r="E322" t="s">
        <v>148</v>
      </c>
      <c r="F322">
        <v>3</v>
      </c>
    </row>
    <row r="323" spans="1:6" x14ac:dyDescent="0.3">
      <c r="A323" t="s">
        <v>40</v>
      </c>
      <c r="B323">
        <v>2023</v>
      </c>
      <c r="C323" t="s">
        <v>84</v>
      </c>
      <c r="D323" s="3">
        <v>447000000</v>
      </c>
      <c r="E323" t="s">
        <v>126</v>
      </c>
      <c r="F323">
        <v>1</v>
      </c>
    </row>
    <row r="324" spans="1:6" x14ac:dyDescent="0.3">
      <c r="A324" t="s">
        <v>40</v>
      </c>
      <c r="B324">
        <v>2023</v>
      </c>
      <c r="C324" t="s">
        <v>65</v>
      </c>
      <c r="D324" s="3">
        <v>338000000</v>
      </c>
      <c r="E324" t="s">
        <v>121</v>
      </c>
      <c r="F324">
        <v>2</v>
      </c>
    </row>
    <row r="325" spans="1:6" x14ac:dyDescent="0.3">
      <c r="A325" t="s">
        <v>40</v>
      </c>
      <c r="B325">
        <v>2023</v>
      </c>
      <c r="C325" t="s">
        <v>59</v>
      </c>
      <c r="D325" s="3">
        <v>294000000</v>
      </c>
      <c r="E325" t="s">
        <v>148</v>
      </c>
      <c r="F325">
        <v>3</v>
      </c>
    </row>
    <row r="326" spans="1:6" x14ac:dyDescent="0.3">
      <c r="A326" t="s">
        <v>41</v>
      </c>
      <c r="B326">
        <v>2021</v>
      </c>
      <c r="C326" t="s">
        <v>75</v>
      </c>
      <c r="D326" s="3">
        <v>67099999.999999993</v>
      </c>
      <c r="E326" t="s">
        <v>50</v>
      </c>
      <c r="F326">
        <v>1</v>
      </c>
    </row>
    <row r="327" spans="1:6" x14ac:dyDescent="0.3">
      <c r="A327" t="s">
        <v>41</v>
      </c>
      <c r="B327">
        <v>2021</v>
      </c>
      <c r="C327" t="s">
        <v>59</v>
      </c>
      <c r="D327" s="3">
        <v>49400000</v>
      </c>
      <c r="E327" t="s">
        <v>121</v>
      </c>
      <c r="F327">
        <v>2</v>
      </c>
    </row>
    <row r="328" spans="1:6" x14ac:dyDescent="0.3">
      <c r="A328" t="s">
        <v>41</v>
      </c>
      <c r="B328">
        <v>2021</v>
      </c>
      <c r="C328" t="s">
        <v>104</v>
      </c>
      <c r="D328" s="3">
        <v>43000000</v>
      </c>
      <c r="E328" t="s">
        <v>131</v>
      </c>
      <c r="F328">
        <v>3</v>
      </c>
    </row>
    <row r="329" spans="1:6" x14ac:dyDescent="0.3">
      <c r="A329" t="s">
        <v>41</v>
      </c>
      <c r="B329">
        <v>2022</v>
      </c>
      <c r="C329" t="s">
        <v>75</v>
      </c>
      <c r="D329" s="3">
        <v>76700000</v>
      </c>
      <c r="E329" t="s">
        <v>50</v>
      </c>
      <c r="F329">
        <v>1</v>
      </c>
    </row>
    <row r="330" spans="1:6" x14ac:dyDescent="0.3">
      <c r="A330" t="s">
        <v>41</v>
      </c>
      <c r="B330">
        <v>2022</v>
      </c>
      <c r="C330" t="s">
        <v>59</v>
      </c>
      <c r="D330" s="3">
        <v>51400000</v>
      </c>
      <c r="E330" t="s">
        <v>172</v>
      </c>
      <c r="F330">
        <v>2</v>
      </c>
    </row>
    <row r="331" spans="1:6" x14ac:dyDescent="0.3">
      <c r="A331" t="s">
        <v>41</v>
      </c>
      <c r="B331">
        <v>2022</v>
      </c>
      <c r="C331" t="s">
        <v>105</v>
      </c>
      <c r="D331" s="3">
        <v>44600000</v>
      </c>
      <c r="E331" t="s">
        <v>50</v>
      </c>
      <c r="F331">
        <v>3</v>
      </c>
    </row>
    <row r="332" spans="1:6" x14ac:dyDescent="0.3">
      <c r="A332" t="s">
        <v>41</v>
      </c>
      <c r="B332">
        <v>2023</v>
      </c>
      <c r="C332" t="s">
        <v>75</v>
      </c>
      <c r="D332" s="3">
        <v>125000000</v>
      </c>
      <c r="E332" t="s">
        <v>50</v>
      </c>
      <c r="F332">
        <v>1</v>
      </c>
    </row>
    <row r="333" spans="1:6" x14ac:dyDescent="0.3">
      <c r="A333" t="s">
        <v>41</v>
      </c>
      <c r="B333">
        <v>2023</v>
      </c>
      <c r="C333" t="s">
        <v>59</v>
      </c>
      <c r="D333" s="3">
        <v>44300000</v>
      </c>
      <c r="E333" t="s">
        <v>165</v>
      </c>
      <c r="F333">
        <v>2</v>
      </c>
    </row>
    <row r="334" spans="1:6" x14ac:dyDescent="0.3">
      <c r="A334" t="s">
        <v>41</v>
      </c>
      <c r="B334">
        <v>2023</v>
      </c>
      <c r="C334" t="s">
        <v>62</v>
      </c>
      <c r="D334" s="3">
        <v>41000000</v>
      </c>
      <c r="E334" t="s">
        <v>50</v>
      </c>
      <c r="F334">
        <v>3</v>
      </c>
    </row>
    <row r="335" spans="1:6" x14ac:dyDescent="0.3">
      <c r="A335" t="s">
        <v>42</v>
      </c>
      <c r="B335">
        <v>2021</v>
      </c>
      <c r="C335" t="s">
        <v>65</v>
      </c>
      <c r="D335" s="3">
        <v>459000000</v>
      </c>
      <c r="E335" t="s">
        <v>126</v>
      </c>
      <c r="F335">
        <v>1</v>
      </c>
    </row>
    <row r="336" spans="1:6" x14ac:dyDescent="0.3">
      <c r="A336" t="s">
        <v>42</v>
      </c>
      <c r="B336">
        <v>2021</v>
      </c>
      <c r="C336" t="s">
        <v>84</v>
      </c>
      <c r="D336" s="3">
        <v>118000000</v>
      </c>
      <c r="E336" t="s">
        <v>168</v>
      </c>
      <c r="F336">
        <v>2</v>
      </c>
    </row>
    <row r="337" spans="1:6" x14ac:dyDescent="0.3">
      <c r="A337" t="s">
        <v>42</v>
      </c>
      <c r="B337">
        <v>2021</v>
      </c>
      <c r="C337" t="s">
        <v>98</v>
      </c>
      <c r="D337" s="3">
        <v>50300000</v>
      </c>
      <c r="E337" t="s">
        <v>142</v>
      </c>
      <c r="F337">
        <v>3</v>
      </c>
    </row>
    <row r="338" spans="1:6" x14ac:dyDescent="0.3">
      <c r="A338" t="s">
        <v>42</v>
      </c>
      <c r="B338">
        <v>2022</v>
      </c>
      <c r="C338" t="s">
        <v>65</v>
      </c>
      <c r="D338" s="3">
        <v>534000000</v>
      </c>
      <c r="E338" t="s">
        <v>126</v>
      </c>
      <c r="F338">
        <v>1</v>
      </c>
    </row>
    <row r="339" spans="1:6" x14ac:dyDescent="0.3">
      <c r="A339" t="s">
        <v>42</v>
      </c>
      <c r="B339">
        <v>2022</v>
      </c>
      <c r="C339" t="s">
        <v>84</v>
      </c>
      <c r="D339" s="3">
        <v>69500000</v>
      </c>
      <c r="E339" t="s">
        <v>150</v>
      </c>
      <c r="F339">
        <v>2</v>
      </c>
    </row>
    <row r="340" spans="1:6" x14ac:dyDescent="0.3">
      <c r="A340" t="s">
        <v>42</v>
      </c>
      <c r="B340">
        <v>2022</v>
      </c>
      <c r="C340" t="s">
        <v>83</v>
      </c>
      <c r="D340" s="3">
        <v>47200000</v>
      </c>
      <c r="E340" t="s">
        <v>145</v>
      </c>
      <c r="F340">
        <v>3</v>
      </c>
    </row>
    <row r="341" spans="1:6" x14ac:dyDescent="0.3">
      <c r="A341" t="s">
        <v>42</v>
      </c>
      <c r="B341">
        <v>2023</v>
      </c>
      <c r="C341" t="s">
        <v>65</v>
      </c>
      <c r="D341" s="3">
        <v>312000000</v>
      </c>
      <c r="E341" t="s">
        <v>126</v>
      </c>
      <c r="F341">
        <v>1</v>
      </c>
    </row>
    <row r="342" spans="1:6" x14ac:dyDescent="0.3">
      <c r="A342" t="s">
        <v>42</v>
      </c>
      <c r="B342">
        <v>2023</v>
      </c>
      <c r="C342" t="s">
        <v>84</v>
      </c>
      <c r="D342" s="3">
        <v>66599999.999999993</v>
      </c>
      <c r="E342" t="s">
        <v>150</v>
      </c>
      <c r="F342">
        <v>2</v>
      </c>
    </row>
    <row r="343" spans="1:6" x14ac:dyDescent="0.3">
      <c r="A343" t="s">
        <v>42</v>
      </c>
      <c r="B343">
        <v>2023</v>
      </c>
      <c r="C343" t="s">
        <v>83</v>
      </c>
      <c r="D343" s="3">
        <v>38400000</v>
      </c>
      <c r="E343" t="s">
        <v>145</v>
      </c>
      <c r="F343">
        <v>3</v>
      </c>
    </row>
    <row r="344" spans="1:6" x14ac:dyDescent="0.3">
      <c r="A344" t="s">
        <v>43</v>
      </c>
      <c r="B344">
        <v>2021</v>
      </c>
      <c r="C344" t="s">
        <v>59</v>
      </c>
      <c r="D344" s="3">
        <v>3560000000</v>
      </c>
      <c r="E344" t="s">
        <v>173</v>
      </c>
      <c r="F344">
        <v>1</v>
      </c>
    </row>
    <row r="345" spans="1:6" x14ac:dyDescent="0.3">
      <c r="A345" t="s">
        <v>43</v>
      </c>
      <c r="B345">
        <v>2021</v>
      </c>
      <c r="C345" t="s">
        <v>75</v>
      </c>
      <c r="D345" s="3">
        <v>625000000</v>
      </c>
      <c r="E345" t="s">
        <v>131</v>
      </c>
      <c r="F345">
        <v>2</v>
      </c>
    </row>
    <row r="346" spans="1:6" x14ac:dyDescent="0.3">
      <c r="A346" t="s">
        <v>43</v>
      </c>
      <c r="B346">
        <v>2021</v>
      </c>
      <c r="C346" t="s">
        <v>78</v>
      </c>
      <c r="D346" s="3">
        <v>619000000</v>
      </c>
      <c r="E346" t="s">
        <v>138</v>
      </c>
      <c r="F346">
        <v>3</v>
      </c>
    </row>
    <row r="347" spans="1:6" x14ac:dyDescent="0.3">
      <c r="A347" t="s">
        <v>43</v>
      </c>
      <c r="B347">
        <v>2022</v>
      </c>
      <c r="C347" t="s">
        <v>59</v>
      </c>
      <c r="D347" s="3">
        <v>3250000000</v>
      </c>
      <c r="E347" t="s">
        <v>151</v>
      </c>
      <c r="F347">
        <v>1</v>
      </c>
    </row>
    <row r="348" spans="1:6" x14ac:dyDescent="0.3">
      <c r="A348" t="s">
        <v>43</v>
      </c>
      <c r="B348">
        <v>2022</v>
      </c>
      <c r="C348" t="s">
        <v>78</v>
      </c>
      <c r="D348" s="3">
        <v>784000000</v>
      </c>
      <c r="E348" t="s">
        <v>137</v>
      </c>
      <c r="F348">
        <v>2</v>
      </c>
    </row>
    <row r="349" spans="1:6" x14ac:dyDescent="0.3">
      <c r="A349" t="s">
        <v>43</v>
      </c>
      <c r="B349">
        <v>2022</v>
      </c>
      <c r="C349" t="s">
        <v>75</v>
      </c>
      <c r="D349" s="3">
        <v>647000000</v>
      </c>
      <c r="E349" t="s">
        <v>131</v>
      </c>
      <c r="F349">
        <v>3</v>
      </c>
    </row>
    <row r="350" spans="1:6" x14ac:dyDescent="0.3">
      <c r="A350" t="s">
        <v>43</v>
      </c>
      <c r="B350">
        <v>2023</v>
      </c>
      <c r="C350" t="s">
        <v>59</v>
      </c>
      <c r="D350" s="3">
        <v>2970000000</v>
      </c>
      <c r="E350" t="s">
        <v>140</v>
      </c>
      <c r="F350">
        <v>1</v>
      </c>
    </row>
    <row r="351" spans="1:6" x14ac:dyDescent="0.3">
      <c r="A351" t="s">
        <v>43</v>
      </c>
      <c r="B351">
        <v>2023</v>
      </c>
      <c r="C351" t="s">
        <v>75</v>
      </c>
      <c r="D351" s="3">
        <v>747000000</v>
      </c>
      <c r="E351" t="s">
        <v>131</v>
      </c>
      <c r="F351">
        <v>2</v>
      </c>
    </row>
    <row r="352" spans="1:6" x14ac:dyDescent="0.3">
      <c r="A352" t="s">
        <v>43</v>
      </c>
      <c r="B352">
        <v>2023</v>
      </c>
      <c r="C352" t="s">
        <v>78</v>
      </c>
      <c r="D352" s="3">
        <v>682000000</v>
      </c>
      <c r="E352" t="s">
        <v>153</v>
      </c>
      <c r="F352">
        <v>3</v>
      </c>
    </row>
    <row r="353" spans="1:6" x14ac:dyDescent="0.3">
      <c r="A353" t="s">
        <v>44</v>
      </c>
      <c r="B353">
        <v>2021</v>
      </c>
      <c r="C353" t="s">
        <v>75</v>
      </c>
      <c r="D353" s="3">
        <v>152000000</v>
      </c>
      <c r="E353" t="s">
        <v>35</v>
      </c>
      <c r="F353">
        <v>1</v>
      </c>
    </row>
    <row r="354" spans="1:6" x14ac:dyDescent="0.3">
      <c r="A354" t="s">
        <v>44</v>
      </c>
      <c r="B354">
        <v>2021</v>
      </c>
      <c r="C354" t="s">
        <v>91</v>
      </c>
      <c r="D354" s="3">
        <v>138000000</v>
      </c>
      <c r="E354" t="s">
        <v>150</v>
      </c>
      <c r="F354">
        <v>2</v>
      </c>
    </row>
    <row r="355" spans="1:6" x14ac:dyDescent="0.3">
      <c r="A355" t="s">
        <v>44</v>
      </c>
      <c r="B355">
        <v>2021</v>
      </c>
      <c r="C355" t="s">
        <v>65</v>
      </c>
      <c r="D355" s="3">
        <v>84700000</v>
      </c>
      <c r="E355" t="s">
        <v>135</v>
      </c>
      <c r="F355">
        <v>3</v>
      </c>
    </row>
    <row r="356" spans="1:6" x14ac:dyDescent="0.3">
      <c r="A356" t="s">
        <v>44</v>
      </c>
      <c r="B356">
        <v>2022</v>
      </c>
      <c r="C356" t="s">
        <v>91</v>
      </c>
      <c r="D356" s="3">
        <v>179000000</v>
      </c>
      <c r="E356" t="s">
        <v>155</v>
      </c>
      <c r="F356">
        <v>1</v>
      </c>
    </row>
    <row r="357" spans="1:6" x14ac:dyDescent="0.3">
      <c r="A357" t="s">
        <v>44</v>
      </c>
      <c r="B357">
        <v>2022</v>
      </c>
      <c r="C357" t="s">
        <v>75</v>
      </c>
      <c r="D357" s="3">
        <v>178000000</v>
      </c>
      <c r="E357" t="s">
        <v>126</v>
      </c>
      <c r="F357">
        <v>2</v>
      </c>
    </row>
    <row r="358" spans="1:6" x14ac:dyDescent="0.3">
      <c r="A358" t="s">
        <v>44</v>
      </c>
      <c r="B358">
        <v>2022</v>
      </c>
      <c r="C358" t="s">
        <v>65</v>
      </c>
      <c r="D358" s="3">
        <v>144000000</v>
      </c>
      <c r="E358" t="s">
        <v>146</v>
      </c>
      <c r="F358">
        <v>3</v>
      </c>
    </row>
    <row r="359" spans="1:6" x14ac:dyDescent="0.3">
      <c r="A359" t="s">
        <v>44</v>
      </c>
      <c r="B359">
        <v>2023</v>
      </c>
      <c r="C359" t="s">
        <v>62</v>
      </c>
      <c r="D359" s="3">
        <v>69000000</v>
      </c>
      <c r="E359" t="s">
        <v>55</v>
      </c>
      <c r="F359">
        <v>1</v>
      </c>
    </row>
    <row r="360" spans="1:6" x14ac:dyDescent="0.3">
      <c r="A360" t="s">
        <v>44</v>
      </c>
      <c r="B360">
        <v>2023</v>
      </c>
      <c r="C360" t="s">
        <v>78</v>
      </c>
      <c r="D360" s="3">
        <v>67500000</v>
      </c>
      <c r="E360" t="s">
        <v>127</v>
      </c>
      <c r="F360">
        <v>2</v>
      </c>
    </row>
    <row r="361" spans="1:6" x14ac:dyDescent="0.3">
      <c r="A361" t="s">
        <v>44</v>
      </c>
      <c r="B361">
        <v>2023</v>
      </c>
      <c r="C361" t="s">
        <v>75</v>
      </c>
      <c r="D361" s="3">
        <v>57200000</v>
      </c>
      <c r="E361" t="s">
        <v>55</v>
      </c>
      <c r="F361">
        <v>3</v>
      </c>
    </row>
    <row r="362" spans="1:6" x14ac:dyDescent="0.3">
      <c r="A362" t="s">
        <v>45</v>
      </c>
      <c r="B362">
        <v>2021</v>
      </c>
      <c r="C362" t="s">
        <v>65</v>
      </c>
      <c r="D362" s="3">
        <v>7940000</v>
      </c>
      <c r="E362" t="s">
        <v>133</v>
      </c>
      <c r="F362">
        <v>1</v>
      </c>
    </row>
    <row r="363" spans="1:6" x14ac:dyDescent="0.3">
      <c r="A363" t="s">
        <v>45</v>
      </c>
      <c r="B363">
        <v>2021</v>
      </c>
      <c r="C363" t="s">
        <v>76</v>
      </c>
      <c r="D363" s="3">
        <v>4270000</v>
      </c>
      <c r="E363" t="s">
        <v>163</v>
      </c>
      <c r="F363">
        <v>2</v>
      </c>
    </row>
    <row r="364" spans="1:6" x14ac:dyDescent="0.3">
      <c r="A364" t="s">
        <v>45</v>
      </c>
      <c r="B364">
        <v>2021</v>
      </c>
      <c r="C364" t="s">
        <v>63</v>
      </c>
      <c r="D364" s="3">
        <v>4260000</v>
      </c>
      <c r="E364" t="s">
        <v>163</v>
      </c>
      <c r="F364">
        <v>3</v>
      </c>
    </row>
    <row r="365" spans="1:6" x14ac:dyDescent="0.3">
      <c r="A365" t="s">
        <v>45</v>
      </c>
      <c r="B365">
        <v>2022</v>
      </c>
      <c r="C365" t="s">
        <v>65</v>
      </c>
      <c r="D365" s="3">
        <v>7120000</v>
      </c>
      <c r="E365" t="s">
        <v>133</v>
      </c>
      <c r="F365">
        <v>1</v>
      </c>
    </row>
    <row r="366" spans="1:6" x14ac:dyDescent="0.3">
      <c r="A366" t="s">
        <v>45</v>
      </c>
      <c r="B366">
        <v>2022</v>
      </c>
      <c r="C366" t="s">
        <v>85</v>
      </c>
      <c r="D366" s="3">
        <v>5550000</v>
      </c>
      <c r="E366" t="s">
        <v>163</v>
      </c>
      <c r="F366">
        <v>2</v>
      </c>
    </row>
    <row r="367" spans="1:6" x14ac:dyDescent="0.3">
      <c r="A367" t="s">
        <v>45</v>
      </c>
      <c r="B367">
        <v>2022</v>
      </c>
      <c r="C367" t="s">
        <v>106</v>
      </c>
      <c r="D367" s="3">
        <v>3220000</v>
      </c>
      <c r="E367" t="s">
        <v>163</v>
      </c>
      <c r="F367">
        <v>3</v>
      </c>
    </row>
    <row r="368" spans="1:6" x14ac:dyDescent="0.3">
      <c r="A368" t="s">
        <v>45</v>
      </c>
      <c r="B368">
        <v>2023</v>
      </c>
      <c r="C368" t="s">
        <v>65</v>
      </c>
      <c r="D368" s="3">
        <v>15000000</v>
      </c>
      <c r="E368" t="s">
        <v>133</v>
      </c>
      <c r="F368">
        <v>1</v>
      </c>
    </row>
    <row r="369" spans="1:6" x14ac:dyDescent="0.3">
      <c r="A369" t="s">
        <v>45</v>
      </c>
      <c r="B369">
        <v>2023</v>
      </c>
      <c r="C369" t="s">
        <v>85</v>
      </c>
      <c r="D369" s="3">
        <v>4400000</v>
      </c>
      <c r="E369" t="s">
        <v>144</v>
      </c>
      <c r="F369">
        <v>2</v>
      </c>
    </row>
    <row r="370" spans="1:6" x14ac:dyDescent="0.3">
      <c r="A370" t="s">
        <v>45</v>
      </c>
      <c r="B370">
        <v>2023</v>
      </c>
      <c r="C370" t="s">
        <v>107</v>
      </c>
      <c r="D370" s="3">
        <v>3900000</v>
      </c>
      <c r="E370" t="s">
        <v>163</v>
      </c>
      <c r="F370">
        <v>3</v>
      </c>
    </row>
    <row r="371" spans="1:6" x14ac:dyDescent="0.3">
      <c r="A371" t="s">
        <v>46</v>
      </c>
      <c r="B371">
        <v>2021</v>
      </c>
      <c r="C371" t="s">
        <v>65</v>
      </c>
      <c r="D371" s="3">
        <v>465000000</v>
      </c>
      <c r="E371" t="s">
        <v>126</v>
      </c>
      <c r="F371">
        <v>1</v>
      </c>
    </row>
    <row r="372" spans="1:6" x14ac:dyDescent="0.3">
      <c r="A372" t="s">
        <v>46</v>
      </c>
      <c r="B372">
        <v>2021</v>
      </c>
      <c r="C372" t="s">
        <v>85</v>
      </c>
      <c r="D372" s="3">
        <v>330000000</v>
      </c>
      <c r="E372" t="s">
        <v>121</v>
      </c>
      <c r="F372">
        <v>2</v>
      </c>
    </row>
    <row r="373" spans="1:6" x14ac:dyDescent="0.3">
      <c r="A373" t="s">
        <v>46</v>
      </c>
      <c r="B373">
        <v>2021</v>
      </c>
      <c r="C373" t="s">
        <v>99</v>
      </c>
      <c r="D373" s="3">
        <v>202000000</v>
      </c>
      <c r="E373" t="s">
        <v>140</v>
      </c>
      <c r="F373">
        <v>3</v>
      </c>
    </row>
    <row r="374" spans="1:6" x14ac:dyDescent="0.3">
      <c r="A374" t="s">
        <v>46</v>
      </c>
      <c r="B374">
        <v>2022</v>
      </c>
      <c r="C374" t="s">
        <v>65</v>
      </c>
      <c r="D374" s="3">
        <v>603000000</v>
      </c>
      <c r="E374" t="s">
        <v>126</v>
      </c>
      <c r="F374">
        <v>1</v>
      </c>
    </row>
    <row r="375" spans="1:6" x14ac:dyDescent="0.3">
      <c r="A375" t="s">
        <v>46</v>
      </c>
      <c r="B375">
        <v>2022</v>
      </c>
      <c r="C375" t="s">
        <v>85</v>
      </c>
      <c r="D375" s="3">
        <v>417000000</v>
      </c>
      <c r="E375" t="s">
        <v>119</v>
      </c>
      <c r="F375">
        <v>2</v>
      </c>
    </row>
    <row r="376" spans="1:6" x14ac:dyDescent="0.3">
      <c r="A376" t="s">
        <v>46</v>
      </c>
      <c r="B376">
        <v>2022</v>
      </c>
      <c r="C376" t="s">
        <v>99</v>
      </c>
      <c r="D376" s="3">
        <v>0</v>
      </c>
      <c r="E376" t="s">
        <v>140</v>
      </c>
      <c r="F376">
        <v>3</v>
      </c>
    </row>
    <row r="377" spans="1:6" x14ac:dyDescent="0.3">
      <c r="A377" t="s">
        <v>46</v>
      </c>
      <c r="B377">
        <v>2023</v>
      </c>
      <c r="C377" t="s">
        <v>65</v>
      </c>
      <c r="D377" s="3">
        <v>612000000</v>
      </c>
      <c r="E377" t="s">
        <v>164</v>
      </c>
      <c r="F377">
        <v>1</v>
      </c>
    </row>
    <row r="378" spans="1:6" x14ac:dyDescent="0.3">
      <c r="A378" t="s">
        <v>46</v>
      </c>
      <c r="B378">
        <v>2023</v>
      </c>
      <c r="C378" t="s">
        <v>63</v>
      </c>
      <c r="D378" s="3">
        <v>340000000</v>
      </c>
      <c r="E378" t="s">
        <v>119</v>
      </c>
      <c r="F378">
        <v>2</v>
      </c>
    </row>
    <row r="379" spans="1:6" x14ac:dyDescent="0.3">
      <c r="A379" t="s">
        <v>46</v>
      </c>
      <c r="B379">
        <v>2023</v>
      </c>
      <c r="C379" t="s">
        <v>98</v>
      </c>
      <c r="D379" s="3">
        <v>238000000</v>
      </c>
      <c r="E379" t="s">
        <v>140</v>
      </c>
      <c r="F379">
        <v>3</v>
      </c>
    </row>
    <row r="380" spans="1:6" x14ac:dyDescent="0.3">
      <c r="A380" t="s">
        <v>47</v>
      </c>
      <c r="B380">
        <v>2021</v>
      </c>
      <c r="C380" t="s">
        <v>78</v>
      </c>
      <c r="D380" s="3">
        <v>139000000</v>
      </c>
      <c r="E380" t="s">
        <v>170</v>
      </c>
      <c r="F380">
        <v>1</v>
      </c>
    </row>
    <row r="381" spans="1:6" x14ac:dyDescent="0.3">
      <c r="A381" t="s">
        <v>47</v>
      </c>
      <c r="B381">
        <v>2021</v>
      </c>
      <c r="C381" t="s">
        <v>90</v>
      </c>
      <c r="D381" s="3">
        <v>8670000</v>
      </c>
      <c r="E381" t="s">
        <v>163</v>
      </c>
      <c r="F381">
        <v>2</v>
      </c>
    </row>
    <row r="382" spans="1:6" x14ac:dyDescent="0.3">
      <c r="A382" t="s">
        <v>47</v>
      </c>
      <c r="B382">
        <v>2021</v>
      </c>
      <c r="C382" t="s">
        <v>108</v>
      </c>
      <c r="D382" s="3">
        <v>6510000</v>
      </c>
      <c r="E382" t="s">
        <v>54</v>
      </c>
      <c r="F382">
        <v>3</v>
      </c>
    </row>
    <row r="383" spans="1:6" x14ac:dyDescent="0.3">
      <c r="A383" t="s">
        <v>47</v>
      </c>
      <c r="B383">
        <v>2022</v>
      </c>
      <c r="C383" t="s">
        <v>78</v>
      </c>
      <c r="D383" s="3">
        <v>165000000</v>
      </c>
      <c r="E383" t="s">
        <v>170</v>
      </c>
      <c r="F383">
        <v>1</v>
      </c>
    </row>
    <row r="384" spans="1:6" x14ac:dyDescent="0.3">
      <c r="A384" t="s">
        <v>47</v>
      </c>
      <c r="B384">
        <v>2022</v>
      </c>
      <c r="C384" t="s">
        <v>65</v>
      </c>
      <c r="D384" s="3">
        <v>7580000</v>
      </c>
      <c r="E384" t="s">
        <v>131</v>
      </c>
      <c r="F384">
        <v>2</v>
      </c>
    </row>
    <row r="385" spans="1:6" x14ac:dyDescent="0.3">
      <c r="A385" t="s">
        <v>47</v>
      </c>
      <c r="B385">
        <v>2022</v>
      </c>
      <c r="C385" t="s">
        <v>64</v>
      </c>
      <c r="D385" s="3">
        <v>7070000</v>
      </c>
      <c r="E385" t="s">
        <v>126</v>
      </c>
      <c r="F385">
        <v>3</v>
      </c>
    </row>
    <row r="386" spans="1:6" x14ac:dyDescent="0.3">
      <c r="A386" t="s">
        <v>47</v>
      </c>
      <c r="B386">
        <v>2023</v>
      </c>
      <c r="C386" t="s">
        <v>78</v>
      </c>
      <c r="D386" s="3">
        <v>158000000</v>
      </c>
      <c r="E386" t="s">
        <v>170</v>
      </c>
      <c r="F386">
        <v>1</v>
      </c>
    </row>
    <row r="387" spans="1:6" x14ac:dyDescent="0.3">
      <c r="A387" t="s">
        <v>47</v>
      </c>
      <c r="B387">
        <v>2023</v>
      </c>
      <c r="C387" t="s">
        <v>108</v>
      </c>
      <c r="D387" s="3">
        <v>11200000</v>
      </c>
      <c r="E387" t="s">
        <v>54</v>
      </c>
      <c r="F387">
        <v>2</v>
      </c>
    </row>
    <row r="388" spans="1:6" x14ac:dyDescent="0.3">
      <c r="A388" t="s">
        <v>47</v>
      </c>
      <c r="B388">
        <v>2023</v>
      </c>
      <c r="C388" t="s">
        <v>64</v>
      </c>
      <c r="D388" s="3">
        <v>9460000</v>
      </c>
      <c r="E388" t="s">
        <v>131</v>
      </c>
      <c r="F388">
        <v>3</v>
      </c>
    </row>
    <row r="389" spans="1:6" x14ac:dyDescent="0.3">
      <c r="A389" t="s">
        <v>48</v>
      </c>
      <c r="B389">
        <v>2021</v>
      </c>
      <c r="C389" t="s">
        <v>109</v>
      </c>
      <c r="D389" s="3">
        <v>130000000</v>
      </c>
      <c r="E389" t="s">
        <v>164</v>
      </c>
      <c r="F389">
        <v>1</v>
      </c>
    </row>
    <row r="390" spans="1:6" x14ac:dyDescent="0.3">
      <c r="A390" t="s">
        <v>48</v>
      </c>
      <c r="B390">
        <v>2021</v>
      </c>
      <c r="C390" t="s">
        <v>64</v>
      </c>
      <c r="D390" s="3">
        <v>37100000</v>
      </c>
      <c r="E390" t="s">
        <v>125</v>
      </c>
      <c r="F390">
        <v>2</v>
      </c>
    </row>
    <row r="391" spans="1:6" x14ac:dyDescent="0.3">
      <c r="A391" t="s">
        <v>48</v>
      </c>
      <c r="B391">
        <v>2021</v>
      </c>
      <c r="C391" t="s">
        <v>63</v>
      </c>
      <c r="D391" s="3">
        <v>25700000</v>
      </c>
      <c r="E391" t="s">
        <v>145</v>
      </c>
      <c r="F391">
        <v>3</v>
      </c>
    </row>
    <row r="392" spans="1:6" x14ac:dyDescent="0.3">
      <c r="A392" t="s">
        <v>48</v>
      </c>
      <c r="B392">
        <v>2022</v>
      </c>
      <c r="C392" t="s">
        <v>109</v>
      </c>
      <c r="D392" s="3">
        <v>160000000</v>
      </c>
      <c r="E392" t="s">
        <v>164</v>
      </c>
      <c r="F392">
        <v>1</v>
      </c>
    </row>
    <row r="393" spans="1:6" x14ac:dyDescent="0.3">
      <c r="A393" t="s">
        <v>48</v>
      </c>
      <c r="B393">
        <v>2022</v>
      </c>
      <c r="C393" t="s">
        <v>63</v>
      </c>
      <c r="D393" s="3">
        <v>32600000</v>
      </c>
      <c r="E393" t="s">
        <v>145</v>
      </c>
      <c r="F393">
        <v>2</v>
      </c>
    </row>
    <row r="394" spans="1:6" x14ac:dyDescent="0.3">
      <c r="A394" t="s">
        <v>48</v>
      </c>
      <c r="B394">
        <v>2022</v>
      </c>
      <c r="C394" t="s">
        <v>104</v>
      </c>
      <c r="D394" s="3">
        <v>30400000</v>
      </c>
      <c r="E394" t="s">
        <v>125</v>
      </c>
      <c r="F394">
        <v>3</v>
      </c>
    </row>
    <row r="395" spans="1:6" x14ac:dyDescent="0.3">
      <c r="A395" t="s">
        <v>48</v>
      </c>
      <c r="B395">
        <v>2023</v>
      </c>
      <c r="C395" t="s">
        <v>109</v>
      </c>
      <c r="D395" s="3">
        <v>256000000</v>
      </c>
      <c r="E395" t="s">
        <v>164</v>
      </c>
      <c r="F395">
        <v>1</v>
      </c>
    </row>
    <row r="396" spans="1:6" x14ac:dyDescent="0.3">
      <c r="A396" t="s">
        <v>48</v>
      </c>
      <c r="B396">
        <v>2023</v>
      </c>
      <c r="C396" t="s">
        <v>64</v>
      </c>
      <c r="D396" s="3">
        <v>27800000</v>
      </c>
      <c r="E396" t="s">
        <v>125</v>
      </c>
      <c r="F396">
        <v>2</v>
      </c>
    </row>
    <row r="397" spans="1:6" x14ac:dyDescent="0.3">
      <c r="A397" t="s">
        <v>48</v>
      </c>
      <c r="B397">
        <v>2023</v>
      </c>
      <c r="C397" t="s">
        <v>63</v>
      </c>
      <c r="D397" s="3">
        <v>19500000</v>
      </c>
      <c r="E397" t="s">
        <v>145</v>
      </c>
      <c r="F397">
        <v>3</v>
      </c>
    </row>
    <row r="398" spans="1:6" x14ac:dyDescent="0.3">
      <c r="A398" t="s">
        <v>49</v>
      </c>
      <c r="B398">
        <v>2021</v>
      </c>
      <c r="C398" t="s">
        <v>96</v>
      </c>
      <c r="D398" s="3">
        <v>345000000</v>
      </c>
      <c r="E398" t="s">
        <v>164</v>
      </c>
      <c r="F398">
        <v>1</v>
      </c>
    </row>
    <row r="399" spans="1:6" x14ac:dyDescent="0.3">
      <c r="A399" t="s">
        <v>49</v>
      </c>
      <c r="B399">
        <v>2021</v>
      </c>
      <c r="C399" t="s">
        <v>109</v>
      </c>
      <c r="D399" s="3">
        <v>197000000</v>
      </c>
      <c r="E399" t="s">
        <v>126</v>
      </c>
      <c r="F399">
        <v>2</v>
      </c>
    </row>
    <row r="400" spans="1:6" x14ac:dyDescent="0.3">
      <c r="A400" t="s">
        <v>49</v>
      </c>
      <c r="B400">
        <v>2021</v>
      </c>
      <c r="C400" t="s">
        <v>110</v>
      </c>
      <c r="D400" s="3">
        <v>182000000</v>
      </c>
      <c r="E400" t="s">
        <v>174</v>
      </c>
      <c r="F400">
        <v>3</v>
      </c>
    </row>
    <row r="401" spans="1:6" x14ac:dyDescent="0.3">
      <c r="A401" t="s">
        <v>49</v>
      </c>
      <c r="B401">
        <v>2022</v>
      </c>
      <c r="C401" t="s">
        <v>96</v>
      </c>
      <c r="D401" s="3">
        <v>421000000</v>
      </c>
      <c r="E401" t="s">
        <v>164</v>
      </c>
      <c r="F401">
        <v>1</v>
      </c>
    </row>
    <row r="402" spans="1:6" x14ac:dyDescent="0.3">
      <c r="A402" t="s">
        <v>49</v>
      </c>
      <c r="B402">
        <v>2022</v>
      </c>
      <c r="C402" t="s">
        <v>110</v>
      </c>
      <c r="D402" s="3">
        <v>272000000</v>
      </c>
      <c r="E402" t="s">
        <v>126</v>
      </c>
      <c r="F402">
        <v>2</v>
      </c>
    </row>
    <row r="403" spans="1:6" x14ac:dyDescent="0.3">
      <c r="A403" t="s">
        <v>49</v>
      </c>
      <c r="B403">
        <v>2022</v>
      </c>
      <c r="C403" t="s">
        <v>109</v>
      </c>
      <c r="D403" s="3">
        <v>243000000</v>
      </c>
      <c r="E403" t="s">
        <v>126</v>
      </c>
      <c r="F403">
        <v>3</v>
      </c>
    </row>
    <row r="404" spans="1:6" x14ac:dyDescent="0.3">
      <c r="A404" t="s">
        <v>49</v>
      </c>
      <c r="B404">
        <v>2023</v>
      </c>
      <c r="C404" t="s">
        <v>96</v>
      </c>
      <c r="D404" s="3">
        <v>226000000</v>
      </c>
      <c r="E404" t="s">
        <v>164</v>
      </c>
      <c r="F404">
        <v>1</v>
      </c>
    </row>
    <row r="405" spans="1:6" x14ac:dyDescent="0.3">
      <c r="A405" t="s">
        <v>49</v>
      </c>
      <c r="B405">
        <v>2023</v>
      </c>
      <c r="C405" t="s">
        <v>109</v>
      </c>
      <c r="D405" s="3">
        <v>226000000</v>
      </c>
      <c r="E405" t="s">
        <v>126</v>
      </c>
      <c r="F405">
        <v>2</v>
      </c>
    </row>
    <row r="406" spans="1:6" x14ac:dyDescent="0.3">
      <c r="A406" t="s">
        <v>49</v>
      </c>
      <c r="B406">
        <v>2023</v>
      </c>
      <c r="C406" t="s">
        <v>110</v>
      </c>
      <c r="D406" s="3">
        <v>202000000</v>
      </c>
      <c r="E406" t="s">
        <v>148</v>
      </c>
      <c r="F406">
        <v>3</v>
      </c>
    </row>
    <row r="407" spans="1:6" x14ac:dyDescent="0.3">
      <c r="A407" t="s">
        <v>50</v>
      </c>
      <c r="B407">
        <v>2021</v>
      </c>
      <c r="C407" t="s">
        <v>91</v>
      </c>
      <c r="D407" s="3">
        <v>507000000</v>
      </c>
      <c r="E407" t="s">
        <v>155</v>
      </c>
      <c r="F407">
        <v>1</v>
      </c>
    </row>
    <row r="408" spans="1:6" x14ac:dyDescent="0.3">
      <c r="A408" t="s">
        <v>50</v>
      </c>
      <c r="B408">
        <v>2021</v>
      </c>
      <c r="C408" t="s">
        <v>65</v>
      </c>
      <c r="D408" s="3">
        <v>502000000</v>
      </c>
      <c r="E408" t="s">
        <v>141</v>
      </c>
      <c r="F408">
        <v>2</v>
      </c>
    </row>
    <row r="409" spans="1:6" x14ac:dyDescent="0.3">
      <c r="A409" t="s">
        <v>50</v>
      </c>
      <c r="B409">
        <v>2021</v>
      </c>
      <c r="C409" t="s">
        <v>59</v>
      </c>
      <c r="D409" s="3">
        <v>457000000</v>
      </c>
      <c r="E409" t="s">
        <v>159</v>
      </c>
      <c r="F409">
        <v>3</v>
      </c>
    </row>
    <row r="410" spans="1:6" x14ac:dyDescent="0.3">
      <c r="A410" t="s">
        <v>50</v>
      </c>
      <c r="B410">
        <v>2022</v>
      </c>
      <c r="C410" t="s">
        <v>59</v>
      </c>
      <c r="D410" s="3">
        <v>627000000</v>
      </c>
      <c r="E410" t="s">
        <v>159</v>
      </c>
      <c r="F410">
        <v>1</v>
      </c>
    </row>
    <row r="411" spans="1:6" x14ac:dyDescent="0.3">
      <c r="A411" t="s">
        <v>50</v>
      </c>
      <c r="B411">
        <v>2022</v>
      </c>
      <c r="C411" t="s">
        <v>65</v>
      </c>
      <c r="D411" s="3">
        <v>477000000</v>
      </c>
      <c r="E411" t="s">
        <v>141</v>
      </c>
      <c r="F411">
        <v>2</v>
      </c>
    </row>
    <row r="412" spans="1:6" x14ac:dyDescent="0.3">
      <c r="A412" t="s">
        <v>50</v>
      </c>
      <c r="B412">
        <v>2022</v>
      </c>
      <c r="C412" t="s">
        <v>64</v>
      </c>
      <c r="D412" s="3">
        <v>296000000</v>
      </c>
      <c r="E412" t="s">
        <v>131</v>
      </c>
      <c r="F412">
        <v>3</v>
      </c>
    </row>
    <row r="413" spans="1:6" x14ac:dyDescent="0.3">
      <c r="A413" t="s">
        <v>50</v>
      </c>
      <c r="B413">
        <v>2023</v>
      </c>
      <c r="C413" t="s">
        <v>59</v>
      </c>
      <c r="D413" s="3">
        <v>621000000</v>
      </c>
      <c r="E413" t="s">
        <v>140</v>
      </c>
      <c r="F413">
        <v>1</v>
      </c>
    </row>
    <row r="414" spans="1:6" x14ac:dyDescent="0.3">
      <c r="A414" t="s">
        <v>50</v>
      </c>
      <c r="B414">
        <v>2023</v>
      </c>
      <c r="C414" t="s">
        <v>65</v>
      </c>
      <c r="D414" s="3">
        <v>618000000</v>
      </c>
      <c r="E414" t="s">
        <v>141</v>
      </c>
      <c r="F414">
        <v>2</v>
      </c>
    </row>
    <row r="415" spans="1:6" x14ac:dyDescent="0.3">
      <c r="A415" t="s">
        <v>50</v>
      </c>
      <c r="B415">
        <v>2023</v>
      </c>
      <c r="C415" t="s">
        <v>75</v>
      </c>
      <c r="D415" s="3">
        <v>283000000</v>
      </c>
      <c r="E415" t="s">
        <v>23</v>
      </c>
      <c r="F415">
        <v>3</v>
      </c>
    </row>
    <row r="416" spans="1:6" x14ac:dyDescent="0.3">
      <c r="A416" t="s">
        <v>51</v>
      </c>
      <c r="B416">
        <v>2021</v>
      </c>
      <c r="C416" t="s">
        <v>111</v>
      </c>
      <c r="D416" s="3">
        <v>40500000</v>
      </c>
      <c r="E416" t="s">
        <v>55</v>
      </c>
      <c r="F416">
        <v>1</v>
      </c>
    </row>
    <row r="417" spans="1:6" x14ac:dyDescent="0.3">
      <c r="A417" t="s">
        <v>51</v>
      </c>
      <c r="B417">
        <v>2021</v>
      </c>
      <c r="C417" t="s">
        <v>110</v>
      </c>
      <c r="D417" s="3">
        <v>35800000</v>
      </c>
      <c r="E417" t="s">
        <v>55</v>
      </c>
      <c r="F417">
        <v>2</v>
      </c>
    </row>
    <row r="418" spans="1:6" x14ac:dyDescent="0.3">
      <c r="A418" t="s">
        <v>51</v>
      </c>
      <c r="B418">
        <v>2021</v>
      </c>
      <c r="C418" t="s">
        <v>63</v>
      </c>
      <c r="D418" s="3">
        <v>28200000</v>
      </c>
      <c r="E418" t="s">
        <v>55</v>
      </c>
      <c r="F418">
        <v>3</v>
      </c>
    </row>
    <row r="419" spans="1:6" x14ac:dyDescent="0.3">
      <c r="A419" t="s">
        <v>51</v>
      </c>
      <c r="B419">
        <v>2022</v>
      </c>
      <c r="C419" t="s">
        <v>110</v>
      </c>
      <c r="D419" s="3">
        <v>53200000</v>
      </c>
      <c r="E419" t="s">
        <v>55</v>
      </c>
      <c r="F419">
        <v>1</v>
      </c>
    </row>
    <row r="420" spans="1:6" x14ac:dyDescent="0.3">
      <c r="A420" t="s">
        <v>51</v>
      </c>
      <c r="B420">
        <v>2022</v>
      </c>
      <c r="C420" t="s">
        <v>63</v>
      </c>
      <c r="D420" s="3">
        <v>48900000</v>
      </c>
      <c r="E420" t="s">
        <v>55</v>
      </c>
      <c r="F420">
        <v>2</v>
      </c>
    </row>
    <row r="421" spans="1:6" x14ac:dyDescent="0.3">
      <c r="A421" t="s">
        <v>51</v>
      </c>
      <c r="B421">
        <v>2022</v>
      </c>
      <c r="C421" t="s">
        <v>112</v>
      </c>
      <c r="D421" s="3">
        <v>46800000</v>
      </c>
      <c r="E421" t="s">
        <v>55</v>
      </c>
      <c r="F421">
        <v>3</v>
      </c>
    </row>
    <row r="422" spans="1:6" x14ac:dyDescent="0.3">
      <c r="A422" t="s">
        <v>51</v>
      </c>
      <c r="B422">
        <v>2023</v>
      </c>
      <c r="C422" t="s">
        <v>113</v>
      </c>
      <c r="D422" s="3">
        <v>43700000</v>
      </c>
      <c r="E422" t="s">
        <v>55</v>
      </c>
      <c r="F422">
        <v>1</v>
      </c>
    </row>
    <row r="423" spans="1:6" x14ac:dyDescent="0.3">
      <c r="A423" t="s">
        <v>51</v>
      </c>
      <c r="B423">
        <v>2023</v>
      </c>
      <c r="C423" t="s">
        <v>63</v>
      </c>
      <c r="D423" s="3">
        <v>42900000</v>
      </c>
      <c r="E423" t="s">
        <v>55</v>
      </c>
      <c r="F423">
        <v>2</v>
      </c>
    </row>
    <row r="424" spans="1:6" x14ac:dyDescent="0.3">
      <c r="A424" t="s">
        <v>51</v>
      </c>
      <c r="B424">
        <v>2023</v>
      </c>
      <c r="C424" t="s">
        <v>114</v>
      </c>
      <c r="D424" s="3">
        <v>39100000</v>
      </c>
      <c r="E424" t="s">
        <v>55</v>
      </c>
      <c r="F424">
        <v>3</v>
      </c>
    </row>
    <row r="425" spans="1:6" x14ac:dyDescent="0.3">
      <c r="A425" t="s">
        <v>52</v>
      </c>
      <c r="B425">
        <v>2021</v>
      </c>
      <c r="C425" t="s">
        <v>96</v>
      </c>
      <c r="D425" s="3">
        <v>889000000</v>
      </c>
      <c r="E425" t="s">
        <v>164</v>
      </c>
      <c r="F425">
        <v>1</v>
      </c>
    </row>
    <row r="426" spans="1:6" x14ac:dyDescent="0.3">
      <c r="A426" t="s">
        <v>52</v>
      </c>
      <c r="B426">
        <v>2021</v>
      </c>
      <c r="C426" t="s">
        <v>63</v>
      </c>
      <c r="D426" s="3">
        <v>508000000</v>
      </c>
      <c r="E426" t="s">
        <v>121</v>
      </c>
      <c r="F426">
        <v>2</v>
      </c>
    </row>
    <row r="427" spans="1:6" x14ac:dyDescent="0.3">
      <c r="A427" t="s">
        <v>52</v>
      </c>
      <c r="B427">
        <v>2021</v>
      </c>
      <c r="C427" t="s">
        <v>105</v>
      </c>
      <c r="D427" s="3">
        <v>142000000</v>
      </c>
      <c r="E427" t="s">
        <v>121</v>
      </c>
      <c r="F427">
        <v>3</v>
      </c>
    </row>
    <row r="428" spans="1:6" x14ac:dyDescent="0.3">
      <c r="A428" t="s">
        <v>52</v>
      </c>
      <c r="B428">
        <v>2022</v>
      </c>
      <c r="C428" t="s">
        <v>96</v>
      </c>
      <c r="D428" s="3">
        <v>989000000</v>
      </c>
      <c r="E428" t="s">
        <v>164</v>
      </c>
      <c r="F428">
        <v>1</v>
      </c>
    </row>
    <row r="429" spans="1:6" x14ac:dyDescent="0.3">
      <c r="A429" t="s">
        <v>52</v>
      </c>
      <c r="B429">
        <v>2022</v>
      </c>
      <c r="C429" t="s">
        <v>63</v>
      </c>
      <c r="D429" s="3">
        <v>505000000</v>
      </c>
      <c r="E429" t="s">
        <v>171</v>
      </c>
      <c r="F429">
        <v>2</v>
      </c>
    </row>
    <row r="430" spans="1:6" x14ac:dyDescent="0.3">
      <c r="A430" t="s">
        <v>52</v>
      </c>
      <c r="B430">
        <v>2022</v>
      </c>
      <c r="C430" t="s">
        <v>115</v>
      </c>
      <c r="D430" s="3">
        <v>142000000</v>
      </c>
      <c r="E430" t="s">
        <v>174</v>
      </c>
      <c r="F430">
        <v>3</v>
      </c>
    </row>
    <row r="431" spans="1:6" x14ac:dyDescent="0.3">
      <c r="A431" t="s">
        <v>52</v>
      </c>
      <c r="B431">
        <v>2023</v>
      </c>
      <c r="C431" t="s">
        <v>96</v>
      </c>
      <c r="D431" s="3">
        <v>794000000</v>
      </c>
      <c r="E431" t="s">
        <v>164</v>
      </c>
      <c r="F431">
        <v>1</v>
      </c>
    </row>
    <row r="432" spans="1:6" x14ac:dyDescent="0.3">
      <c r="A432" t="s">
        <v>52</v>
      </c>
      <c r="B432">
        <v>2023</v>
      </c>
      <c r="C432" t="s">
        <v>116</v>
      </c>
      <c r="D432" s="3">
        <v>329000000</v>
      </c>
      <c r="E432" t="s">
        <v>20</v>
      </c>
      <c r="F432">
        <v>2</v>
      </c>
    </row>
    <row r="433" spans="1:6" x14ac:dyDescent="0.3">
      <c r="A433" t="s">
        <v>52</v>
      </c>
      <c r="B433">
        <v>2023</v>
      </c>
      <c r="C433" t="s">
        <v>63</v>
      </c>
      <c r="D433" s="3">
        <v>121000000</v>
      </c>
      <c r="E433" t="s">
        <v>122</v>
      </c>
      <c r="F433">
        <v>3</v>
      </c>
    </row>
    <row r="434" spans="1:6" x14ac:dyDescent="0.3">
      <c r="A434" t="s">
        <v>53</v>
      </c>
      <c r="B434">
        <v>2021</v>
      </c>
      <c r="C434" t="s">
        <v>110</v>
      </c>
      <c r="D434" s="3">
        <v>333000000</v>
      </c>
      <c r="E434" t="s">
        <v>155</v>
      </c>
      <c r="F434">
        <v>1</v>
      </c>
    </row>
    <row r="435" spans="1:6" x14ac:dyDescent="0.3">
      <c r="A435" t="s">
        <v>53</v>
      </c>
      <c r="B435">
        <v>2021</v>
      </c>
      <c r="C435" t="s">
        <v>109</v>
      </c>
      <c r="D435" s="3">
        <v>233000000</v>
      </c>
      <c r="E435" t="s">
        <v>126</v>
      </c>
      <c r="F435">
        <v>2</v>
      </c>
    </row>
    <row r="436" spans="1:6" x14ac:dyDescent="0.3">
      <c r="A436" t="s">
        <v>53</v>
      </c>
      <c r="B436">
        <v>2021</v>
      </c>
      <c r="C436" t="s">
        <v>75</v>
      </c>
      <c r="D436" s="3">
        <v>106000000</v>
      </c>
      <c r="E436" t="s">
        <v>131</v>
      </c>
      <c r="F436">
        <v>3</v>
      </c>
    </row>
    <row r="437" spans="1:6" x14ac:dyDescent="0.3">
      <c r="A437" t="s">
        <v>53</v>
      </c>
      <c r="B437">
        <v>2022</v>
      </c>
      <c r="C437" t="s">
        <v>110</v>
      </c>
      <c r="D437" s="3">
        <v>346000000</v>
      </c>
      <c r="E437" t="s">
        <v>155</v>
      </c>
      <c r="F437">
        <v>1</v>
      </c>
    </row>
    <row r="438" spans="1:6" x14ac:dyDescent="0.3">
      <c r="A438" t="s">
        <v>53</v>
      </c>
      <c r="B438">
        <v>2022</v>
      </c>
      <c r="C438" t="s">
        <v>65</v>
      </c>
      <c r="D438" s="3">
        <v>298000000</v>
      </c>
      <c r="E438" t="s">
        <v>126</v>
      </c>
      <c r="F438">
        <v>2</v>
      </c>
    </row>
    <row r="439" spans="1:6" x14ac:dyDescent="0.3">
      <c r="A439" t="s">
        <v>53</v>
      </c>
      <c r="B439">
        <v>2022</v>
      </c>
      <c r="C439" t="s">
        <v>75</v>
      </c>
      <c r="D439" s="3">
        <v>125000000</v>
      </c>
      <c r="E439" t="s">
        <v>131</v>
      </c>
      <c r="F439">
        <v>3</v>
      </c>
    </row>
    <row r="440" spans="1:6" x14ac:dyDescent="0.3">
      <c r="A440" t="s">
        <v>53</v>
      </c>
      <c r="B440">
        <v>2023</v>
      </c>
      <c r="C440" t="s">
        <v>65</v>
      </c>
      <c r="D440" s="3">
        <v>427000000</v>
      </c>
      <c r="E440" t="s">
        <v>126</v>
      </c>
      <c r="F440">
        <v>1</v>
      </c>
    </row>
    <row r="441" spans="1:6" x14ac:dyDescent="0.3">
      <c r="A441" t="s">
        <v>53</v>
      </c>
      <c r="B441">
        <v>2023</v>
      </c>
      <c r="C441" t="s">
        <v>84</v>
      </c>
      <c r="D441" s="3">
        <v>357000000</v>
      </c>
      <c r="E441" t="s">
        <v>148</v>
      </c>
      <c r="F441">
        <v>2</v>
      </c>
    </row>
    <row r="442" spans="1:6" x14ac:dyDescent="0.3">
      <c r="A442" t="s">
        <v>53</v>
      </c>
      <c r="B442">
        <v>2023</v>
      </c>
      <c r="C442" t="s">
        <v>75</v>
      </c>
      <c r="D442" s="3">
        <v>153000000</v>
      </c>
      <c r="E442" t="s">
        <v>131</v>
      </c>
      <c r="F442">
        <v>3</v>
      </c>
    </row>
    <row r="443" spans="1:6" x14ac:dyDescent="0.3">
      <c r="A443" t="s">
        <v>54</v>
      </c>
      <c r="B443">
        <v>2021</v>
      </c>
      <c r="C443" t="s">
        <v>59</v>
      </c>
      <c r="D443" s="3">
        <v>564000000</v>
      </c>
      <c r="E443" t="s">
        <v>157</v>
      </c>
      <c r="F443">
        <v>1</v>
      </c>
    </row>
    <row r="444" spans="1:6" x14ac:dyDescent="0.3">
      <c r="A444" t="s">
        <v>54</v>
      </c>
      <c r="B444">
        <v>2021</v>
      </c>
      <c r="C444" t="s">
        <v>67</v>
      </c>
      <c r="D444" s="3">
        <v>299000000</v>
      </c>
      <c r="E444" t="s">
        <v>125</v>
      </c>
      <c r="F444">
        <v>2</v>
      </c>
    </row>
    <row r="445" spans="1:6" x14ac:dyDescent="0.3">
      <c r="A445" t="s">
        <v>54</v>
      </c>
      <c r="B445">
        <v>2021</v>
      </c>
      <c r="C445" t="s">
        <v>95</v>
      </c>
      <c r="D445" s="3">
        <v>275000000</v>
      </c>
      <c r="E445" t="s">
        <v>121</v>
      </c>
      <c r="F445">
        <v>3</v>
      </c>
    </row>
    <row r="446" spans="1:6" x14ac:dyDescent="0.3">
      <c r="A446" t="s">
        <v>54</v>
      </c>
      <c r="B446">
        <v>2022</v>
      </c>
      <c r="C446" t="s">
        <v>63</v>
      </c>
      <c r="D446" s="3">
        <v>867000000</v>
      </c>
      <c r="E446" t="s">
        <v>175</v>
      </c>
      <c r="F446">
        <v>1</v>
      </c>
    </row>
    <row r="447" spans="1:6" x14ac:dyDescent="0.3">
      <c r="A447" t="s">
        <v>54</v>
      </c>
      <c r="B447">
        <v>2022</v>
      </c>
      <c r="C447" t="s">
        <v>67</v>
      </c>
      <c r="D447" s="3">
        <v>289000000</v>
      </c>
      <c r="E447" t="s">
        <v>125</v>
      </c>
      <c r="F447">
        <v>2</v>
      </c>
    </row>
    <row r="448" spans="1:6" x14ac:dyDescent="0.3">
      <c r="A448" t="s">
        <v>54</v>
      </c>
      <c r="B448">
        <v>2022</v>
      </c>
      <c r="C448" t="s">
        <v>95</v>
      </c>
      <c r="D448" s="3">
        <v>257000000</v>
      </c>
      <c r="E448" t="s">
        <v>176</v>
      </c>
      <c r="F448">
        <v>3</v>
      </c>
    </row>
    <row r="449" spans="1:6" x14ac:dyDescent="0.3">
      <c r="A449" t="s">
        <v>54</v>
      </c>
      <c r="B449">
        <v>2023</v>
      </c>
      <c r="C449" t="s">
        <v>63</v>
      </c>
      <c r="D449" s="3">
        <v>628000000</v>
      </c>
      <c r="E449" t="s">
        <v>121</v>
      </c>
      <c r="F449">
        <v>1</v>
      </c>
    </row>
    <row r="450" spans="1:6" x14ac:dyDescent="0.3">
      <c r="A450" t="s">
        <v>54</v>
      </c>
      <c r="B450">
        <v>2023</v>
      </c>
      <c r="C450" t="s">
        <v>117</v>
      </c>
      <c r="D450" s="3">
        <v>411000000</v>
      </c>
      <c r="E450" t="s">
        <v>121</v>
      </c>
      <c r="F450">
        <v>2</v>
      </c>
    </row>
    <row r="451" spans="1:6" x14ac:dyDescent="0.3">
      <c r="A451" t="s">
        <v>54</v>
      </c>
      <c r="B451">
        <v>2023</v>
      </c>
      <c r="C451" t="s">
        <v>69</v>
      </c>
      <c r="D451" s="3">
        <v>318000000</v>
      </c>
      <c r="E451" t="s">
        <v>131</v>
      </c>
      <c r="F451">
        <v>3</v>
      </c>
    </row>
    <row r="452" spans="1:6" x14ac:dyDescent="0.3">
      <c r="A452" t="s">
        <v>55</v>
      </c>
      <c r="B452">
        <v>2021</v>
      </c>
      <c r="C452" t="s">
        <v>110</v>
      </c>
      <c r="D452" s="3">
        <v>336000000</v>
      </c>
      <c r="E452" t="s">
        <v>148</v>
      </c>
      <c r="F452">
        <v>1</v>
      </c>
    </row>
    <row r="453" spans="1:6" x14ac:dyDescent="0.3">
      <c r="A453" t="s">
        <v>55</v>
      </c>
      <c r="B453">
        <v>2021</v>
      </c>
      <c r="C453" t="s">
        <v>63</v>
      </c>
      <c r="D453" s="3">
        <v>237000000</v>
      </c>
      <c r="E453" t="s">
        <v>121</v>
      </c>
      <c r="F453">
        <v>2</v>
      </c>
    </row>
    <row r="454" spans="1:6" x14ac:dyDescent="0.3">
      <c r="A454" t="s">
        <v>55</v>
      </c>
      <c r="B454">
        <v>2021</v>
      </c>
      <c r="C454" t="s">
        <v>109</v>
      </c>
      <c r="D454" s="3">
        <v>125000000</v>
      </c>
      <c r="E454" t="s">
        <v>135</v>
      </c>
      <c r="F454">
        <v>3</v>
      </c>
    </row>
    <row r="455" spans="1:6" x14ac:dyDescent="0.3">
      <c r="A455" t="s">
        <v>55</v>
      </c>
      <c r="B455">
        <v>2022</v>
      </c>
      <c r="C455" t="s">
        <v>110</v>
      </c>
      <c r="D455" s="3">
        <v>376000000</v>
      </c>
      <c r="E455" t="s">
        <v>148</v>
      </c>
      <c r="F455">
        <v>1</v>
      </c>
    </row>
    <row r="456" spans="1:6" x14ac:dyDescent="0.3">
      <c r="A456" t="s">
        <v>55</v>
      </c>
      <c r="B456">
        <v>2022</v>
      </c>
      <c r="C456" t="s">
        <v>63</v>
      </c>
      <c r="D456" s="3">
        <v>203000000</v>
      </c>
      <c r="E456" t="s">
        <v>121</v>
      </c>
      <c r="F456">
        <v>2</v>
      </c>
    </row>
    <row r="457" spans="1:6" x14ac:dyDescent="0.3">
      <c r="A457" t="s">
        <v>55</v>
      </c>
      <c r="B457">
        <v>2022</v>
      </c>
      <c r="C457" t="s">
        <v>109</v>
      </c>
      <c r="D457" s="3">
        <v>146000000</v>
      </c>
      <c r="E457" t="s">
        <v>135</v>
      </c>
      <c r="F457">
        <v>3</v>
      </c>
    </row>
    <row r="458" spans="1:6" x14ac:dyDescent="0.3">
      <c r="A458" t="s">
        <v>55</v>
      </c>
      <c r="B458">
        <v>2023</v>
      </c>
      <c r="C458" t="s">
        <v>110</v>
      </c>
      <c r="D458" s="3">
        <v>336000000</v>
      </c>
      <c r="E458" t="s">
        <v>148</v>
      </c>
      <c r="F458">
        <v>1</v>
      </c>
    </row>
    <row r="459" spans="1:6" x14ac:dyDescent="0.3">
      <c r="A459" t="s">
        <v>55</v>
      </c>
      <c r="B459">
        <v>2023</v>
      </c>
      <c r="C459" t="s">
        <v>63</v>
      </c>
      <c r="D459" s="3">
        <v>237000000</v>
      </c>
      <c r="E459" t="s">
        <v>121</v>
      </c>
      <c r="F459">
        <v>2</v>
      </c>
    </row>
    <row r="460" spans="1:6" x14ac:dyDescent="0.3">
      <c r="A460" t="s">
        <v>55</v>
      </c>
      <c r="B460">
        <v>2023</v>
      </c>
      <c r="C460" t="s">
        <v>109</v>
      </c>
      <c r="D460" s="3">
        <v>125000000</v>
      </c>
      <c r="E460" t="s">
        <v>135</v>
      </c>
      <c r="F460">
        <v>3</v>
      </c>
    </row>
    <row r="461" spans="1:6" x14ac:dyDescent="0.3">
      <c r="A461" t="s">
        <v>56</v>
      </c>
      <c r="B461">
        <v>2021</v>
      </c>
      <c r="C461" t="s">
        <v>91</v>
      </c>
      <c r="D461" s="3">
        <v>228000000</v>
      </c>
      <c r="E461" t="s">
        <v>155</v>
      </c>
      <c r="F461">
        <v>1</v>
      </c>
    </row>
    <row r="462" spans="1:6" x14ac:dyDescent="0.3">
      <c r="A462" t="s">
        <v>56</v>
      </c>
      <c r="B462">
        <v>2021</v>
      </c>
      <c r="C462" t="s">
        <v>59</v>
      </c>
      <c r="D462" s="3">
        <v>202000000</v>
      </c>
      <c r="E462" t="s">
        <v>121</v>
      </c>
      <c r="F462">
        <v>2</v>
      </c>
    </row>
    <row r="463" spans="1:6" x14ac:dyDescent="0.3">
      <c r="A463" t="s">
        <v>56</v>
      </c>
      <c r="B463">
        <v>2021</v>
      </c>
      <c r="C463" t="s">
        <v>75</v>
      </c>
      <c r="D463" s="3">
        <v>161000000</v>
      </c>
      <c r="E463" t="s">
        <v>126</v>
      </c>
      <c r="F463">
        <v>3</v>
      </c>
    </row>
    <row r="464" spans="1:6" x14ac:dyDescent="0.3">
      <c r="A464" t="s">
        <v>56</v>
      </c>
      <c r="B464">
        <v>2022</v>
      </c>
      <c r="C464" t="s">
        <v>59</v>
      </c>
      <c r="D464" s="3">
        <v>287000000</v>
      </c>
      <c r="E464" t="s">
        <v>159</v>
      </c>
      <c r="F464">
        <v>1</v>
      </c>
    </row>
    <row r="465" spans="1:6" x14ac:dyDescent="0.3">
      <c r="A465" t="s">
        <v>56</v>
      </c>
      <c r="B465">
        <v>2022</v>
      </c>
      <c r="C465" t="s">
        <v>75</v>
      </c>
      <c r="D465" s="3">
        <v>217000000</v>
      </c>
      <c r="E465" t="s">
        <v>126</v>
      </c>
      <c r="F465">
        <v>2</v>
      </c>
    </row>
    <row r="466" spans="1:6" x14ac:dyDescent="0.3">
      <c r="A466" t="s">
        <v>56</v>
      </c>
      <c r="B466">
        <v>2022</v>
      </c>
      <c r="C466" t="s">
        <v>91</v>
      </c>
      <c r="D466" s="3">
        <v>148000000</v>
      </c>
      <c r="E466" t="s">
        <v>148</v>
      </c>
      <c r="F466">
        <v>3</v>
      </c>
    </row>
    <row r="467" spans="1:6" x14ac:dyDescent="0.3">
      <c r="A467" t="s">
        <v>56</v>
      </c>
      <c r="B467">
        <v>2023</v>
      </c>
      <c r="C467" t="s">
        <v>59</v>
      </c>
      <c r="D467" s="3">
        <v>466000000</v>
      </c>
      <c r="E467" t="s">
        <v>121</v>
      </c>
      <c r="F467">
        <v>1</v>
      </c>
    </row>
    <row r="468" spans="1:6" x14ac:dyDescent="0.3">
      <c r="A468" t="s">
        <v>56</v>
      </c>
      <c r="B468">
        <v>2023</v>
      </c>
      <c r="C468" t="s">
        <v>84</v>
      </c>
      <c r="D468" s="3">
        <v>333000000</v>
      </c>
      <c r="E468" t="s">
        <v>148</v>
      </c>
      <c r="F468">
        <v>2</v>
      </c>
    </row>
    <row r="469" spans="1:6" x14ac:dyDescent="0.3">
      <c r="A469" t="s">
        <v>56</v>
      </c>
      <c r="B469">
        <v>2023</v>
      </c>
      <c r="C469" t="s">
        <v>75</v>
      </c>
      <c r="D469" s="3">
        <v>204000000</v>
      </c>
      <c r="E469" t="s">
        <v>126</v>
      </c>
      <c r="F469">
        <v>3</v>
      </c>
    </row>
    <row r="470" spans="1:6" x14ac:dyDescent="0.3">
      <c r="A470" t="s">
        <v>57</v>
      </c>
      <c r="B470">
        <v>2021</v>
      </c>
      <c r="C470" t="s">
        <v>78</v>
      </c>
      <c r="D470" s="3">
        <v>118000000</v>
      </c>
      <c r="E470" t="s">
        <v>41</v>
      </c>
      <c r="F470">
        <v>1</v>
      </c>
    </row>
    <row r="471" spans="1:6" x14ac:dyDescent="0.3">
      <c r="A471" t="s">
        <v>57</v>
      </c>
      <c r="B471">
        <v>2021</v>
      </c>
      <c r="C471" t="s">
        <v>91</v>
      </c>
      <c r="D471" s="3">
        <v>112000000</v>
      </c>
      <c r="E471" t="s">
        <v>148</v>
      </c>
      <c r="F471">
        <v>2</v>
      </c>
    </row>
    <row r="472" spans="1:6" x14ac:dyDescent="0.3">
      <c r="A472" t="s">
        <v>57</v>
      </c>
      <c r="B472">
        <v>2021</v>
      </c>
      <c r="C472" t="s">
        <v>102</v>
      </c>
      <c r="D472" s="3">
        <v>38000000</v>
      </c>
      <c r="E472" t="s">
        <v>50</v>
      </c>
      <c r="F472">
        <v>3</v>
      </c>
    </row>
    <row r="473" spans="1:6" x14ac:dyDescent="0.3">
      <c r="A473" t="s">
        <v>57</v>
      </c>
      <c r="B473">
        <v>2022</v>
      </c>
      <c r="C473" t="s">
        <v>78</v>
      </c>
      <c r="D473" s="3">
        <v>140000000</v>
      </c>
      <c r="E473" t="s">
        <v>41</v>
      </c>
      <c r="F473">
        <v>1</v>
      </c>
    </row>
    <row r="474" spans="1:6" x14ac:dyDescent="0.3">
      <c r="A474" t="s">
        <v>57</v>
      </c>
      <c r="B474">
        <v>2022</v>
      </c>
      <c r="C474" t="s">
        <v>91</v>
      </c>
      <c r="D474" s="3">
        <v>76300000</v>
      </c>
      <c r="E474" t="s">
        <v>148</v>
      </c>
      <c r="F474">
        <v>2</v>
      </c>
    </row>
    <row r="475" spans="1:6" x14ac:dyDescent="0.3">
      <c r="A475" t="s">
        <v>57</v>
      </c>
      <c r="B475">
        <v>2022</v>
      </c>
      <c r="C475" t="s">
        <v>102</v>
      </c>
      <c r="D475" s="3">
        <v>57000000</v>
      </c>
      <c r="E475" t="s">
        <v>50</v>
      </c>
      <c r="F475">
        <v>3</v>
      </c>
    </row>
    <row r="476" spans="1:6" x14ac:dyDescent="0.3">
      <c r="A476" t="s">
        <v>57</v>
      </c>
      <c r="B476">
        <v>2023</v>
      </c>
      <c r="C476" t="s">
        <v>78</v>
      </c>
      <c r="D476" s="3">
        <v>161000000</v>
      </c>
      <c r="E476" t="s">
        <v>41</v>
      </c>
      <c r="F476">
        <v>1</v>
      </c>
    </row>
    <row r="477" spans="1:6" x14ac:dyDescent="0.3">
      <c r="A477" t="s">
        <v>57</v>
      </c>
      <c r="B477">
        <v>2023</v>
      </c>
      <c r="C477" t="s">
        <v>84</v>
      </c>
      <c r="D477" s="3">
        <v>78700000</v>
      </c>
      <c r="E477" t="s">
        <v>148</v>
      </c>
      <c r="F477">
        <v>2</v>
      </c>
    </row>
    <row r="478" spans="1:6" x14ac:dyDescent="0.3">
      <c r="A478" t="s">
        <v>57</v>
      </c>
      <c r="B478">
        <v>2023</v>
      </c>
      <c r="C478" t="s">
        <v>118</v>
      </c>
      <c r="D478" s="3">
        <v>42100000</v>
      </c>
      <c r="E478" t="s">
        <v>50</v>
      </c>
      <c r="F478">
        <v>3</v>
      </c>
    </row>
    <row r="479" spans="1:6" x14ac:dyDescent="0.3">
      <c r="A479" t="s">
        <v>58</v>
      </c>
      <c r="B479">
        <v>2021</v>
      </c>
      <c r="C479" t="s">
        <v>61</v>
      </c>
      <c r="D479" s="3">
        <v>220000000</v>
      </c>
      <c r="E479" t="s">
        <v>40</v>
      </c>
      <c r="F479">
        <v>1</v>
      </c>
    </row>
    <row r="480" spans="1:6" x14ac:dyDescent="0.3">
      <c r="A480" t="s">
        <v>58</v>
      </c>
      <c r="B480">
        <v>2021</v>
      </c>
      <c r="C480" t="s">
        <v>65</v>
      </c>
      <c r="D480" s="3">
        <v>134000000</v>
      </c>
      <c r="E480" t="s">
        <v>146</v>
      </c>
      <c r="F480">
        <v>2</v>
      </c>
    </row>
    <row r="481" spans="1:6" x14ac:dyDescent="0.3">
      <c r="A481" t="s">
        <v>58</v>
      </c>
      <c r="B481">
        <v>2021</v>
      </c>
      <c r="C481" t="s">
        <v>62</v>
      </c>
      <c r="D481" s="3">
        <v>112000000</v>
      </c>
      <c r="E481" t="s">
        <v>50</v>
      </c>
      <c r="F481">
        <v>3</v>
      </c>
    </row>
    <row r="482" spans="1:6" x14ac:dyDescent="0.3">
      <c r="A482" t="s">
        <v>58</v>
      </c>
      <c r="B482">
        <v>2022</v>
      </c>
      <c r="C482" t="s">
        <v>61</v>
      </c>
      <c r="D482" s="3">
        <v>289000000</v>
      </c>
      <c r="E482" t="s">
        <v>40</v>
      </c>
      <c r="F482">
        <v>1</v>
      </c>
    </row>
    <row r="483" spans="1:6" x14ac:dyDescent="0.3">
      <c r="A483" t="s">
        <v>58</v>
      </c>
      <c r="B483">
        <v>2022</v>
      </c>
      <c r="C483" t="s">
        <v>65</v>
      </c>
      <c r="D483" s="3">
        <v>164000000</v>
      </c>
      <c r="E483" t="s">
        <v>146</v>
      </c>
      <c r="F483">
        <v>2</v>
      </c>
    </row>
    <row r="484" spans="1:6" x14ac:dyDescent="0.3">
      <c r="A484" t="s">
        <v>58</v>
      </c>
      <c r="B484">
        <v>2022</v>
      </c>
      <c r="C484" t="s">
        <v>59</v>
      </c>
      <c r="D484" s="3">
        <v>155000000</v>
      </c>
      <c r="E484" t="s">
        <v>50</v>
      </c>
      <c r="F484">
        <v>3</v>
      </c>
    </row>
    <row r="485" spans="1:6" x14ac:dyDescent="0.3">
      <c r="A485" t="s">
        <v>58</v>
      </c>
      <c r="B485">
        <v>2023</v>
      </c>
      <c r="C485" t="s">
        <v>61</v>
      </c>
      <c r="D485" s="3">
        <v>208000000</v>
      </c>
      <c r="E485" t="s">
        <v>177</v>
      </c>
      <c r="F485">
        <v>1</v>
      </c>
    </row>
    <row r="486" spans="1:6" x14ac:dyDescent="0.3">
      <c r="A486" t="s">
        <v>58</v>
      </c>
      <c r="B486">
        <v>2023</v>
      </c>
      <c r="C486" t="s">
        <v>65</v>
      </c>
      <c r="D486" s="3">
        <v>174000000</v>
      </c>
      <c r="E486" t="s">
        <v>126</v>
      </c>
      <c r="F486">
        <v>2</v>
      </c>
    </row>
    <row r="487" spans="1:6" x14ac:dyDescent="0.3">
      <c r="A487" t="s">
        <v>58</v>
      </c>
      <c r="B487">
        <v>2023</v>
      </c>
      <c r="C487" t="s">
        <v>62</v>
      </c>
      <c r="D487" s="3">
        <v>147000000</v>
      </c>
      <c r="E487" t="s">
        <v>50</v>
      </c>
      <c r="F487">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7"/>
  <sheetViews>
    <sheetView workbookViewId="0">
      <selection activeCell="C489" sqref="C489"/>
    </sheetView>
  </sheetViews>
  <sheetFormatPr defaultRowHeight="14.4" x14ac:dyDescent="0.3"/>
  <cols>
    <col min="1" max="1" width="31.5546875" bestFit="1" customWidth="1"/>
    <col min="2" max="2" width="9.109375" bestFit="1" customWidth="1"/>
    <col min="3" max="3" width="64.44140625" bestFit="1" customWidth="1"/>
    <col min="4" max="4" width="15.109375" style="8" bestFit="1" customWidth="1"/>
    <col min="5" max="5" width="49.44140625" bestFit="1" customWidth="1"/>
    <col min="6" max="6" width="9.6640625" bestFit="1" customWidth="1"/>
  </cols>
  <sheetData>
    <row r="1" spans="1:6" x14ac:dyDescent="0.3">
      <c r="A1" s="4" t="s">
        <v>0</v>
      </c>
      <c r="B1" s="4" t="s">
        <v>1</v>
      </c>
      <c r="C1" s="4" t="s">
        <v>2</v>
      </c>
      <c r="D1" s="4" t="s">
        <v>299</v>
      </c>
      <c r="E1" s="4" t="s">
        <v>1075</v>
      </c>
      <c r="F1" s="4" t="s">
        <v>3</v>
      </c>
    </row>
    <row r="2" spans="1:6" x14ac:dyDescent="0.3">
      <c r="A2" t="s">
        <v>4</v>
      </c>
      <c r="B2">
        <v>2021</v>
      </c>
      <c r="C2" t="s">
        <v>75</v>
      </c>
      <c r="D2" s="8">
        <v>275000000</v>
      </c>
      <c r="E2" t="s">
        <v>269</v>
      </c>
      <c r="F2">
        <v>1</v>
      </c>
    </row>
    <row r="3" spans="1:6" x14ac:dyDescent="0.3">
      <c r="A3" t="s">
        <v>4</v>
      </c>
      <c r="B3">
        <v>2021</v>
      </c>
      <c r="C3" t="s">
        <v>178</v>
      </c>
      <c r="D3" s="8">
        <v>143000000</v>
      </c>
      <c r="E3" t="s">
        <v>270</v>
      </c>
      <c r="F3">
        <v>2</v>
      </c>
    </row>
    <row r="4" spans="1:6" x14ac:dyDescent="0.3">
      <c r="A4" t="s">
        <v>4</v>
      </c>
      <c r="B4">
        <v>2021</v>
      </c>
      <c r="C4" t="s">
        <v>179</v>
      </c>
      <c r="D4" s="8">
        <v>30300000</v>
      </c>
      <c r="E4" t="s">
        <v>170</v>
      </c>
      <c r="F4">
        <v>3</v>
      </c>
    </row>
    <row r="5" spans="1:6" x14ac:dyDescent="0.3">
      <c r="A5" t="s">
        <v>4</v>
      </c>
      <c r="B5">
        <v>2022</v>
      </c>
      <c r="C5" t="s">
        <v>75</v>
      </c>
      <c r="D5" s="8">
        <v>155000000</v>
      </c>
      <c r="E5" t="s">
        <v>269</v>
      </c>
      <c r="F5">
        <v>1</v>
      </c>
    </row>
    <row r="6" spans="1:6" x14ac:dyDescent="0.3">
      <c r="A6" t="s">
        <v>4</v>
      </c>
      <c r="B6">
        <v>2022</v>
      </c>
      <c r="C6" t="s">
        <v>178</v>
      </c>
      <c r="D6" s="8">
        <v>127000000</v>
      </c>
      <c r="E6" t="s">
        <v>39</v>
      </c>
      <c r="F6">
        <v>2</v>
      </c>
    </row>
    <row r="7" spans="1:6" x14ac:dyDescent="0.3">
      <c r="A7" t="s">
        <v>4</v>
      </c>
      <c r="B7">
        <v>2022</v>
      </c>
      <c r="C7" t="s">
        <v>179</v>
      </c>
      <c r="D7" s="8">
        <v>47900000</v>
      </c>
      <c r="E7" t="s">
        <v>170</v>
      </c>
      <c r="F7">
        <v>3</v>
      </c>
    </row>
    <row r="8" spans="1:6" x14ac:dyDescent="0.3">
      <c r="A8" t="s">
        <v>4</v>
      </c>
      <c r="B8">
        <v>2023</v>
      </c>
      <c r="C8" t="s">
        <v>75</v>
      </c>
      <c r="D8" s="8">
        <v>200000000</v>
      </c>
      <c r="E8" t="s">
        <v>54</v>
      </c>
      <c r="F8">
        <v>1</v>
      </c>
    </row>
    <row r="9" spans="1:6" x14ac:dyDescent="0.3">
      <c r="A9" t="s">
        <v>4</v>
      </c>
      <c r="B9">
        <v>2023</v>
      </c>
      <c r="C9" t="s">
        <v>178</v>
      </c>
      <c r="D9" s="8">
        <v>132000000</v>
      </c>
      <c r="E9" t="s">
        <v>39</v>
      </c>
      <c r="F9">
        <v>2</v>
      </c>
    </row>
    <row r="10" spans="1:6" x14ac:dyDescent="0.3">
      <c r="A10" t="s">
        <v>4</v>
      </c>
      <c r="B10">
        <v>2023</v>
      </c>
      <c r="C10" t="s">
        <v>180</v>
      </c>
      <c r="D10" s="8">
        <v>19500000</v>
      </c>
      <c r="E10" t="s">
        <v>170</v>
      </c>
      <c r="F10">
        <v>3</v>
      </c>
    </row>
    <row r="11" spans="1:6" x14ac:dyDescent="0.3">
      <c r="A11" t="s">
        <v>6</v>
      </c>
      <c r="B11">
        <v>2021</v>
      </c>
      <c r="C11" t="s">
        <v>78</v>
      </c>
      <c r="D11" s="8">
        <v>32100000</v>
      </c>
      <c r="E11" t="s">
        <v>27</v>
      </c>
      <c r="F11">
        <v>1</v>
      </c>
    </row>
    <row r="12" spans="1:6" x14ac:dyDescent="0.3">
      <c r="A12" t="s">
        <v>6</v>
      </c>
      <c r="B12">
        <v>2021</v>
      </c>
      <c r="C12" t="s">
        <v>181</v>
      </c>
      <c r="D12" s="8">
        <v>28100000</v>
      </c>
      <c r="E12" t="s">
        <v>170</v>
      </c>
      <c r="F12">
        <v>2</v>
      </c>
    </row>
    <row r="13" spans="1:6" x14ac:dyDescent="0.3">
      <c r="A13" t="s">
        <v>6</v>
      </c>
      <c r="B13">
        <v>2021</v>
      </c>
      <c r="C13" t="s">
        <v>182</v>
      </c>
      <c r="D13" s="8">
        <v>25500000</v>
      </c>
      <c r="E13" t="s">
        <v>271</v>
      </c>
      <c r="F13">
        <v>3</v>
      </c>
    </row>
    <row r="14" spans="1:6" x14ac:dyDescent="0.3">
      <c r="A14" t="s">
        <v>6</v>
      </c>
      <c r="B14">
        <v>2022</v>
      </c>
      <c r="C14" t="s">
        <v>183</v>
      </c>
      <c r="D14" s="8">
        <v>27900000</v>
      </c>
      <c r="E14" t="s">
        <v>168</v>
      </c>
      <c r="F14">
        <v>1</v>
      </c>
    </row>
    <row r="15" spans="1:6" x14ac:dyDescent="0.3">
      <c r="A15" t="s">
        <v>6</v>
      </c>
      <c r="B15">
        <v>2022</v>
      </c>
      <c r="C15" t="s">
        <v>183</v>
      </c>
      <c r="D15" s="8">
        <v>8199999.9999999991</v>
      </c>
      <c r="E15" t="s">
        <v>39</v>
      </c>
      <c r="F15">
        <v>2</v>
      </c>
    </row>
    <row r="16" spans="1:6" x14ac:dyDescent="0.3">
      <c r="A16" t="s">
        <v>6</v>
      </c>
      <c r="B16">
        <v>2022</v>
      </c>
      <c r="C16" t="s">
        <v>181</v>
      </c>
      <c r="D16" s="8">
        <v>26600000</v>
      </c>
      <c r="E16" t="s">
        <v>170</v>
      </c>
      <c r="F16">
        <v>3</v>
      </c>
    </row>
    <row r="17" spans="1:6" x14ac:dyDescent="0.3">
      <c r="A17" t="s">
        <v>6</v>
      </c>
      <c r="B17">
        <v>2023</v>
      </c>
      <c r="C17" t="s">
        <v>183</v>
      </c>
      <c r="D17" s="8">
        <v>46700000</v>
      </c>
      <c r="E17" t="s">
        <v>145</v>
      </c>
      <c r="F17">
        <v>1</v>
      </c>
    </row>
    <row r="18" spans="1:6" x14ac:dyDescent="0.3">
      <c r="A18" t="s">
        <v>6</v>
      </c>
      <c r="B18">
        <v>2023</v>
      </c>
      <c r="C18" t="s">
        <v>181</v>
      </c>
      <c r="D18" s="8">
        <v>25200000</v>
      </c>
      <c r="E18" t="s">
        <v>170</v>
      </c>
      <c r="F18">
        <v>2</v>
      </c>
    </row>
    <row r="19" spans="1:6" x14ac:dyDescent="0.3">
      <c r="A19" t="s">
        <v>6</v>
      </c>
      <c r="B19">
        <v>2023</v>
      </c>
      <c r="C19" t="s">
        <v>78</v>
      </c>
      <c r="D19" s="8">
        <v>22000000</v>
      </c>
      <c r="E19" t="s">
        <v>27</v>
      </c>
      <c r="F19">
        <v>3</v>
      </c>
    </row>
    <row r="20" spans="1:6" x14ac:dyDescent="0.3">
      <c r="A20" t="s">
        <v>7</v>
      </c>
      <c r="B20">
        <v>2021</v>
      </c>
      <c r="C20" t="s">
        <v>184</v>
      </c>
      <c r="D20" s="8">
        <v>618000000</v>
      </c>
      <c r="E20" t="s">
        <v>272</v>
      </c>
      <c r="F20">
        <v>1</v>
      </c>
    </row>
    <row r="21" spans="1:6" x14ac:dyDescent="0.3">
      <c r="A21" t="s">
        <v>7</v>
      </c>
      <c r="B21">
        <v>2021</v>
      </c>
      <c r="C21" t="s">
        <v>185</v>
      </c>
      <c r="D21" s="8">
        <v>264000000</v>
      </c>
      <c r="E21" t="s">
        <v>164</v>
      </c>
      <c r="F21">
        <v>2</v>
      </c>
    </row>
    <row r="22" spans="1:6" x14ac:dyDescent="0.3">
      <c r="A22" t="s">
        <v>7</v>
      </c>
      <c r="B22">
        <v>2021</v>
      </c>
      <c r="C22" t="s">
        <v>186</v>
      </c>
      <c r="D22" s="8">
        <v>155000000</v>
      </c>
      <c r="E22" t="s">
        <v>129</v>
      </c>
      <c r="F22">
        <v>3</v>
      </c>
    </row>
    <row r="23" spans="1:6" x14ac:dyDescent="0.3">
      <c r="A23" t="s">
        <v>7</v>
      </c>
      <c r="B23">
        <v>2022</v>
      </c>
      <c r="C23" t="s">
        <v>184</v>
      </c>
      <c r="D23" s="8">
        <v>599000000</v>
      </c>
      <c r="E23" t="s">
        <v>272</v>
      </c>
      <c r="F23">
        <v>1</v>
      </c>
    </row>
    <row r="24" spans="1:6" x14ac:dyDescent="0.3">
      <c r="A24" t="s">
        <v>7</v>
      </c>
      <c r="B24">
        <v>2022</v>
      </c>
      <c r="C24" t="s">
        <v>186</v>
      </c>
      <c r="D24" s="8">
        <v>292000000</v>
      </c>
      <c r="E24" t="s">
        <v>272</v>
      </c>
      <c r="F24">
        <v>2</v>
      </c>
    </row>
    <row r="25" spans="1:6" x14ac:dyDescent="0.3">
      <c r="A25" t="s">
        <v>7</v>
      </c>
      <c r="B25">
        <v>2022</v>
      </c>
      <c r="C25" t="s">
        <v>185</v>
      </c>
      <c r="D25" s="8">
        <v>266000000</v>
      </c>
      <c r="E25" t="s">
        <v>164</v>
      </c>
      <c r="F25">
        <v>3</v>
      </c>
    </row>
    <row r="26" spans="1:6" x14ac:dyDescent="0.3">
      <c r="A26" t="s">
        <v>7</v>
      </c>
      <c r="B26">
        <v>2023</v>
      </c>
      <c r="C26" t="s">
        <v>184</v>
      </c>
      <c r="D26" s="8">
        <v>490000000</v>
      </c>
      <c r="E26" t="s">
        <v>272</v>
      </c>
      <c r="F26">
        <v>1</v>
      </c>
    </row>
    <row r="27" spans="1:6" x14ac:dyDescent="0.3">
      <c r="A27" t="s">
        <v>7</v>
      </c>
      <c r="B27">
        <v>2023</v>
      </c>
      <c r="C27" t="s">
        <v>185</v>
      </c>
      <c r="D27" s="8">
        <v>142000000</v>
      </c>
      <c r="E27" t="s">
        <v>164</v>
      </c>
      <c r="F27">
        <v>2</v>
      </c>
    </row>
    <row r="28" spans="1:6" x14ac:dyDescent="0.3">
      <c r="A28" t="s">
        <v>7</v>
      </c>
      <c r="B28">
        <v>2023</v>
      </c>
      <c r="C28" t="s">
        <v>186</v>
      </c>
      <c r="D28" s="8">
        <v>113000000</v>
      </c>
      <c r="E28" t="s">
        <v>129</v>
      </c>
      <c r="F28">
        <v>3</v>
      </c>
    </row>
    <row r="29" spans="1:6" x14ac:dyDescent="0.3">
      <c r="A29" t="s">
        <v>8</v>
      </c>
      <c r="B29">
        <v>2021</v>
      </c>
      <c r="C29" t="s">
        <v>187</v>
      </c>
      <c r="D29" s="8">
        <v>139000000</v>
      </c>
      <c r="E29" t="s">
        <v>50</v>
      </c>
      <c r="F29">
        <v>1</v>
      </c>
    </row>
    <row r="30" spans="1:6" x14ac:dyDescent="0.3">
      <c r="A30" t="s">
        <v>8</v>
      </c>
      <c r="B30">
        <v>2021</v>
      </c>
      <c r="C30" t="s">
        <v>188</v>
      </c>
      <c r="D30" s="8">
        <v>11300000</v>
      </c>
      <c r="E30" t="s">
        <v>149</v>
      </c>
      <c r="F30">
        <v>2</v>
      </c>
    </row>
    <row r="31" spans="1:6" x14ac:dyDescent="0.3">
      <c r="A31" t="s">
        <v>8</v>
      </c>
      <c r="B31">
        <v>2021</v>
      </c>
      <c r="C31" t="s">
        <v>189</v>
      </c>
      <c r="D31" s="8">
        <v>10800000</v>
      </c>
      <c r="E31" t="s">
        <v>50</v>
      </c>
      <c r="F31">
        <v>3</v>
      </c>
    </row>
    <row r="32" spans="1:6" x14ac:dyDescent="0.3">
      <c r="A32" t="s">
        <v>8</v>
      </c>
      <c r="B32">
        <v>2022</v>
      </c>
      <c r="C32" t="s">
        <v>187</v>
      </c>
      <c r="D32" s="8">
        <v>178000000</v>
      </c>
      <c r="E32" t="s">
        <v>50</v>
      </c>
      <c r="F32">
        <v>1</v>
      </c>
    </row>
    <row r="33" spans="1:6" x14ac:dyDescent="0.3">
      <c r="A33" t="s">
        <v>8</v>
      </c>
      <c r="B33">
        <v>2022</v>
      </c>
      <c r="C33" t="s">
        <v>188</v>
      </c>
      <c r="D33" s="8">
        <v>19900000</v>
      </c>
      <c r="E33" t="s">
        <v>149</v>
      </c>
      <c r="F33">
        <v>2</v>
      </c>
    </row>
    <row r="34" spans="1:6" x14ac:dyDescent="0.3">
      <c r="A34" t="s">
        <v>8</v>
      </c>
      <c r="B34">
        <v>2022</v>
      </c>
      <c r="C34" t="s">
        <v>189</v>
      </c>
      <c r="D34" s="8">
        <v>19900000</v>
      </c>
      <c r="E34" t="s">
        <v>50</v>
      </c>
      <c r="F34">
        <v>3</v>
      </c>
    </row>
    <row r="35" spans="1:6" x14ac:dyDescent="0.3">
      <c r="A35" t="s">
        <v>8</v>
      </c>
      <c r="B35">
        <v>2023</v>
      </c>
      <c r="C35" t="s">
        <v>187</v>
      </c>
      <c r="D35" s="8">
        <v>50300000</v>
      </c>
      <c r="E35" t="s">
        <v>50</v>
      </c>
      <c r="F35">
        <v>1</v>
      </c>
    </row>
    <row r="36" spans="1:6" x14ac:dyDescent="0.3">
      <c r="A36" t="s">
        <v>8</v>
      </c>
      <c r="B36">
        <v>2023</v>
      </c>
      <c r="C36" t="s">
        <v>188</v>
      </c>
      <c r="D36" s="8">
        <v>21900000</v>
      </c>
      <c r="E36" t="s">
        <v>149</v>
      </c>
      <c r="F36">
        <v>2</v>
      </c>
    </row>
    <row r="37" spans="1:6" x14ac:dyDescent="0.3">
      <c r="A37" t="s">
        <v>8</v>
      </c>
      <c r="B37">
        <v>2023</v>
      </c>
      <c r="C37" t="s">
        <v>189</v>
      </c>
      <c r="D37" s="8">
        <v>5980000</v>
      </c>
      <c r="E37" t="s">
        <v>50</v>
      </c>
      <c r="F37">
        <v>3</v>
      </c>
    </row>
    <row r="38" spans="1:6" x14ac:dyDescent="0.3">
      <c r="A38" t="s">
        <v>9</v>
      </c>
      <c r="B38">
        <v>2021</v>
      </c>
      <c r="C38" t="s">
        <v>190</v>
      </c>
      <c r="D38" s="8">
        <v>526000000</v>
      </c>
      <c r="E38" t="s">
        <v>273</v>
      </c>
      <c r="F38">
        <v>1</v>
      </c>
    </row>
    <row r="39" spans="1:6" x14ac:dyDescent="0.3">
      <c r="A39" t="s">
        <v>9</v>
      </c>
      <c r="B39">
        <v>2021</v>
      </c>
      <c r="C39" t="s">
        <v>191</v>
      </c>
      <c r="D39" s="8">
        <v>115000000</v>
      </c>
      <c r="E39" t="s">
        <v>27</v>
      </c>
      <c r="F39">
        <v>2</v>
      </c>
    </row>
    <row r="40" spans="1:6" x14ac:dyDescent="0.3">
      <c r="A40" t="s">
        <v>9</v>
      </c>
      <c r="B40">
        <v>2021</v>
      </c>
      <c r="C40" t="s">
        <v>192</v>
      </c>
      <c r="D40" s="8">
        <v>95700000</v>
      </c>
      <c r="E40" t="s">
        <v>274</v>
      </c>
      <c r="F40">
        <v>3</v>
      </c>
    </row>
    <row r="41" spans="1:6" x14ac:dyDescent="0.3">
      <c r="A41" t="s">
        <v>9</v>
      </c>
      <c r="B41">
        <v>2022</v>
      </c>
      <c r="C41" t="s">
        <v>190</v>
      </c>
      <c r="D41" s="8">
        <v>517000000</v>
      </c>
      <c r="E41" t="s">
        <v>273</v>
      </c>
      <c r="F41">
        <v>1</v>
      </c>
    </row>
    <row r="42" spans="1:6" x14ac:dyDescent="0.3">
      <c r="A42" t="s">
        <v>9</v>
      </c>
      <c r="B42">
        <v>2022</v>
      </c>
      <c r="C42" t="s">
        <v>191</v>
      </c>
      <c r="D42" s="8">
        <v>189000000</v>
      </c>
      <c r="E42" t="s">
        <v>274</v>
      </c>
      <c r="F42">
        <v>2</v>
      </c>
    </row>
    <row r="43" spans="1:6" x14ac:dyDescent="0.3">
      <c r="A43" t="s">
        <v>9</v>
      </c>
      <c r="B43">
        <v>2022</v>
      </c>
      <c r="C43" t="s">
        <v>192</v>
      </c>
      <c r="D43" s="8">
        <v>157000000</v>
      </c>
      <c r="E43" t="s">
        <v>164</v>
      </c>
      <c r="F43">
        <v>3</v>
      </c>
    </row>
    <row r="44" spans="1:6" x14ac:dyDescent="0.3">
      <c r="A44" t="s">
        <v>9</v>
      </c>
      <c r="B44">
        <v>2023</v>
      </c>
      <c r="C44" t="s">
        <v>190</v>
      </c>
      <c r="D44" s="8">
        <v>262000000</v>
      </c>
      <c r="E44" t="s">
        <v>17</v>
      </c>
      <c r="F44">
        <v>1</v>
      </c>
    </row>
    <row r="45" spans="1:6" x14ac:dyDescent="0.3">
      <c r="A45" t="s">
        <v>9</v>
      </c>
      <c r="B45">
        <v>2023</v>
      </c>
      <c r="C45" t="s">
        <v>191</v>
      </c>
      <c r="D45" s="8">
        <v>184000000</v>
      </c>
      <c r="E45" t="s">
        <v>275</v>
      </c>
      <c r="F45">
        <v>2</v>
      </c>
    </row>
    <row r="46" spans="1:6" x14ac:dyDescent="0.3">
      <c r="A46" t="s">
        <v>9</v>
      </c>
      <c r="B46">
        <v>2023</v>
      </c>
      <c r="C46" t="s">
        <v>192</v>
      </c>
      <c r="D46" s="8">
        <v>154000000</v>
      </c>
      <c r="E46" t="s">
        <v>164</v>
      </c>
      <c r="F46">
        <v>3</v>
      </c>
    </row>
    <row r="47" spans="1:6" x14ac:dyDescent="0.3">
      <c r="A47" t="s">
        <v>10</v>
      </c>
      <c r="B47">
        <v>2021</v>
      </c>
      <c r="C47" t="s">
        <v>193</v>
      </c>
      <c r="D47" s="8">
        <v>41800000</v>
      </c>
      <c r="E47" t="s">
        <v>143</v>
      </c>
      <c r="F47">
        <v>1</v>
      </c>
    </row>
    <row r="48" spans="1:6" x14ac:dyDescent="0.3">
      <c r="A48" t="s">
        <v>10</v>
      </c>
      <c r="B48">
        <v>2021</v>
      </c>
      <c r="C48" t="s">
        <v>194</v>
      </c>
      <c r="D48" s="8">
        <v>23900000</v>
      </c>
      <c r="E48" t="s">
        <v>276</v>
      </c>
      <c r="F48">
        <v>2</v>
      </c>
    </row>
    <row r="49" spans="1:6" x14ac:dyDescent="0.3">
      <c r="A49" t="s">
        <v>10</v>
      </c>
      <c r="B49">
        <v>2021</v>
      </c>
      <c r="C49" t="s">
        <v>178</v>
      </c>
      <c r="D49" s="8">
        <v>1030000</v>
      </c>
      <c r="E49" t="s">
        <v>135</v>
      </c>
      <c r="F49">
        <v>3</v>
      </c>
    </row>
    <row r="50" spans="1:6" x14ac:dyDescent="0.3">
      <c r="A50" t="s">
        <v>10</v>
      </c>
      <c r="B50">
        <v>2022</v>
      </c>
      <c r="C50" t="s">
        <v>193</v>
      </c>
      <c r="D50" s="8">
        <v>36200000</v>
      </c>
      <c r="E50" t="s">
        <v>143</v>
      </c>
      <c r="F50">
        <v>1</v>
      </c>
    </row>
    <row r="51" spans="1:6" x14ac:dyDescent="0.3">
      <c r="A51" t="s">
        <v>10</v>
      </c>
      <c r="B51">
        <v>2022</v>
      </c>
      <c r="C51" t="s">
        <v>194</v>
      </c>
      <c r="D51" s="8">
        <v>26500000</v>
      </c>
      <c r="E51" t="s">
        <v>129</v>
      </c>
      <c r="F51">
        <v>2</v>
      </c>
    </row>
    <row r="52" spans="1:6" x14ac:dyDescent="0.3">
      <c r="A52" t="s">
        <v>10</v>
      </c>
      <c r="B52">
        <v>2022</v>
      </c>
      <c r="C52" t="s">
        <v>182</v>
      </c>
      <c r="D52" s="8">
        <v>1760000</v>
      </c>
      <c r="E52" t="s">
        <v>154</v>
      </c>
      <c r="F52">
        <v>3</v>
      </c>
    </row>
    <row r="53" spans="1:6" x14ac:dyDescent="0.3">
      <c r="A53" t="s">
        <v>10</v>
      </c>
      <c r="B53">
        <v>2023</v>
      </c>
      <c r="C53" t="s">
        <v>193</v>
      </c>
      <c r="D53" s="8">
        <v>132000000</v>
      </c>
      <c r="E53" t="s">
        <v>143</v>
      </c>
      <c r="F53">
        <v>1</v>
      </c>
    </row>
    <row r="54" spans="1:6" x14ac:dyDescent="0.3">
      <c r="A54" t="s">
        <v>10</v>
      </c>
      <c r="B54">
        <v>2023</v>
      </c>
      <c r="C54" t="s">
        <v>194</v>
      </c>
      <c r="D54" s="8">
        <v>11700000</v>
      </c>
      <c r="E54" t="s">
        <v>129</v>
      </c>
      <c r="F54">
        <v>2</v>
      </c>
    </row>
    <row r="55" spans="1:6" x14ac:dyDescent="0.3">
      <c r="A55" t="s">
        <v>10</v>
      </c>
      <c r="B55">
        <v>2023</v>
      </c>
      <c r="C55" t="s">
        <v>192</v>
      </c>
      <c r="D55" s="8">
        <v>152000</v>
      </c>
      <c r="E55" t="s">
        <v>273</v>
      </c>
      <c r="F55">
        <v>3</v>
      </c>
    </row>
    <row r="56" spans="1:6" x14ac:dyDescent="0.3">
      <c r="A56" t="s">
        <v>11</v>
      </c>
      <c r="B56">
        <v>2021</v>
      </c>
      <c r="C56" t="s">
        <v>195</v>
      </c>
      <c r="D56" s="8">
        <v>53100000</v>
      </c>
      <c r="E56" t="s">
        <v>170</v>
      </c>
      <c r="F56">
        <v>1</v>
      </c>
    </row>
    <row r="57" spans="1:6" x14ac:dyDescent="0.3">
      <c r="A57" t="s">
        <v>11</v>
      </c>
      <c r="B57">
        <v>2021</v>
      </c>
      <c r="C57" t="s">
        <v>196</v>
      </c>
      <c r="D57" s="8">
        <v>5720000</v>
      </c>
      <c r="E57" t="s">
        <v>271</v>
      </c>
      <c r="F57">
        <v>2</v>
      </c>
    </row>
    <row r="58" spans="1:6" x14ac:dyDescent="0.3">
      <c r="A58" t="s">
        <v>11</v>
      </c>
      <c r="B58">
        <v>2021</v>
      </c>
      <c r="C58" t="s">
        <v>197</v>
      </c>
      <c r="D58" s="8">
        <v>5530000</v>
      </c>
      <c r="E58" t="s">
        <v>170</v>
      </c>
      <c r="F58">
        <v>3</v>
      </c>
    </row>
    <row r="59" spans="1:6" x14ac:dyDescent="0.3">
      <c r="A59" t="s">
        <v>11</v>
      </c>
      <c r="B59">
        <v>2022</v>
      </c>
      <c r="C59" t="s">
        <v>195</v>
      </c>
      <c r="D59" s="8">
        <v>51900000</v>
      </c>
      <c r="E59" t="s">
        <v>170</v>
      </c>
      <c r="F59">
        <v>1</v>
      </c>
    </row>
    <row r="60" spans="1:6" x14ac:dyDescent="0.3">
      <c r="A60" t="s">
        <v>11</v>
      </c>
      <c r="B60">
        <v>2022</v>
      </c>
      <c r="C60" t="s">
        <v>197</v>
      </c>
      <c r="D60" s="8">
        <v>7480000</v>
      </c>
      <c r="E60" t="s">
        <v>170</v>
      </c>
      <c r="F60">
        <v>2</v>
      </c>
    </row>
    <row r="61" spans="1:6" x14ac:dyDescent="0.3">
      <c r="A61" t="s">
        <v>11</v>
      </c>
      <c r="B61">
        <v>2022</v>
      </c>
      <c r="C61" t="s">
        <v>198</v>
      </c>
      <c r="D61" s="8">
        <v>5680000</v>
      </c>
      <c r="E61" t="s">
        <v>170</v>
      </c>
      <c r="F61">
        <v>3</v>
      </c>
    </row>
    <row r="62" spans="1:6" x14ac:dyDescent="0.3">
      <c r="A62" t="s">
        <v>11</v>
      </c>
      <c r="B62">
        <v>2023</v>
      </c>
      <c r="C62" t="s">
        <v>195</v>
      </c>
      <c r="D62" s="8">
        <v>56100000</v>
      </c>
      <c r="E62" t="s">
        <v>170</v>
      </c>
      <c r="F62">
        <v>1</v>
      </c>
    </row>
    <row r="63" spans="1:6" x14ac:dyDescent="0.3">
      <c r="A63" t="s">
        <v>11</v>
      </c>
      <c r="B63">
        <v>2023</v>
      </c>
      <c r="C63" t="s">
        <v>196</v>
      </c>
      <c r="D63" s="8">
        <v>8620000</v>
      </c>
      <c r="E63" t="s">
        <v>170</v>
      </c>
      <c r="F63">
        <v>2</v>
      </c>
    </row>
    <row r="64" spans="1:6" x14ac:dyDescent="0.3">
      <c r="A64" t="s">
        <v>11</v>
      </c>
      <c r="B64">
        <v>2023</v>
      </c>
      <c r="C64" t="s">
        <v>197</v>
      </c>
      <c r="D64" s="8">
        <v>5680000</v>
      </c>
      <c r="E64" t="s">
        <v>170</v>
      </c>
      <c r="F64">
        <v>3</v>
      </c>
    </row>
    <row r="65" spans="1:6" x14ac:dyDescent="0.3">
      <c r="A65" t="s">
        <v>12</v>
      </c>
      <c r="B65">
        <v>2021</v>
      </c>
      <c r="C65" t="s">
        <v>199</v>
      </c>
      <c r="D65" s="8">
        <v>572000000</v>
      </c>
      <c r="E65" t="s">
        <v>277</v>
      </c>
      <c r="F65">
        <v>1</v>
      </c>
    </row>
    <row r="66" spans="1:6" x14ac:dyDescent="0.3">
      <c r="A66" t="s">
        <v>12</v>
      </c>
      <c r="B66">
        <v>2021</v>
      </c>
      <c r="C66" t="s">
        <v>190</v>
      </c>
      <c r="D66" s="8">
        <v>250000000</v>
      </c>
      <c r="E66" t="s">
        <v>272</v>
      </c>
      <c r="F66">
        <v>2</v>
      </c>
    </row>
    <row r="67" spans="1:6" x14ac:dyDescent="0.3">
      <c r="A67" t="s">
        <v>12</v>
      </c>
      <c r="B67">
        <v>2021</v>
      </c>
      <c r="C67" t="s">
        <v>200</v>
      </c>
      <c r="D67" s="8">
        <v>153000000</v>
      </c>
      <c r="E67" t="s">
        <v>278</v>
      </c>
      <c r="F67">
        <v>3</v>
      </c>
    </row>
    <row r="68" spans="1:6" x14ac:dyDescent="0.3">
      <c r="A68" t="s">
        <v>12</v>
      </c>
      <c r="B68">
        <v>2022</v>
      </c>
      <c r="C68" t="s">
        <v>199</v>
      </c>
      <c r="D68" s="8">
        <v>482400000</v>
      </c>
      <c r="E68" t="s">
        <v>277</v>
      </c>
      <c r="F68">
        <v>1</v>
      </c>
    </row>
    <row r="69" spans="1:6" x14ac:dyDescent="0.3">
      <c r="A69" t="s">
        <v>12</v>
      </c>
      <c r="B69">
        <v>2022</v>
      </c>
      <c r="C69" t="s">
        <v>200</v>
      </c>
      <c r="D69" s="8">
        <v>159000000</v>
      </c>
      <c r="E69" t="s">
        <v>160</v>
      </c>
      <c r="F69">
        <v>2</v>
      </c>
    </row>
    <row r="70" spans="1:6" x14ac:dyDescent="0.3">
      <c r="A70" t="s">
        <v>12</v>
      </c>
      <c r="B70">
        <v>2022</v>
      </c>
      <c r="C70" t="s">
        <v>201</v>
      </c>
      <c r="D70" s="8">
        <v>121000000</v>
      </c>
      <c r="E70" t="s">
        <v>270</v>
      </c>
      <c r="F70">
        <v>3</v>
      </c>
    </row>
    <row r="71" spans="1:6" x14ac:dyDescent="0.3">
      <c r="A71" t="s">
        <v>12</v>
      </c>
      <c r="B71">
        <v>2023</v>
      </c>
      <c r="C71" t="s">
        <v>199</v>
      </c>
      <c r="D71" s="8">
        <v>719000000</v>
      </c>
      <c r="E71" t="s">
        <v>277</v>
      </c>
      <c r="F71">
        <v>1</v>
      </c>
    </row>
    <row r="72" spans="1:6" x14ac:dyDescent="0.3">
      <c r="A72" t="s">
        <v>12</v>
      </c>
      <c r="B72">
        <v>2023</v>
      </c>
      <c r="C72" t="s">
        <v>200</v>
      </c>
      <c r="D72" s="8">
        <v>140000000</v>
      </c>
      <c r="E72" t="s">
        <v>270</v>
      </c>
      <c r="F72">
        <v>2</v>
      </c>
    </row>
    <row r="73" spans="1:6" x14ac:dyDescent="0.3">
      <c r="A73" t="s">
        <v>12</v>
      </c>
      <c r="B73">
        <v>2023</v>
      </c>
      <c r="C73" t="s">
        <v>202</v>
      </c>
      <c r="D73" s="8">
        <v>128000000</v>
      </c>
      <c r="E73" t="s">
        <v>137</v>
      </c>
      <c r="F73">
        <v>3</v>
      </c>
    </row>
    <row r="74" spans="1:6" x14ac:dyDescent="0.3">
      <c r="A74" t="s">
        <v>13</v>
      </c>
      <c r="B74">
        <v>2021</v>
      </c>
      <c r="C74" t="s">
        <v>84</v>
      </c>
      <c r="D74" s="8">
        <v>115000</v>
      </c>
      <c r="E74" t="s">
        <v>43</v>
      </c>
      <c r="F74">
        <v>1</v>
      </c>
    </row>
    <row r="75" spans="1:6" x14ac:dyDescent="0.3">
      <c r="A75" t="s">
        <v>13</v>
      </c>
      <c r="B75">
        <v>2021</v>
      </c>
      <c r="C75" t="s">
        <v>203</v>
      </c>
      <c r="D75" s="8">
        <v>50000</v>
      </c>
      <c r="E75" t="s">
        <v>14</v>
      </c>
      <c r="F75">
        <v>2</v>
      </c>
    </row>
    <row r="76" spans="1:6" x14ac:dyDescent="0.3">
      <c r="A76" t="s">
        <v>13</v>
      </c>
      <c r="B76">
        <v>2021</v>
      </c>
      <c r="C76" t="s">
        <v>64</v>
      </c>
      <c r="D76" s="8">
        <v>20000</v>
      </c>
      <c r="E76" t="s">
        <v>14</v>
      </c>
      <c r="F76">
        <v>3</v>
      </c>
    </row>
    <row r="77" spans="1:6" x14ac:dyDescent="0.3">
      <c r="A77" t="s">
        <v>13</v>
      </c>
      <c r="B77">
        <v>2022</v>
      </c>
      <c r="C77" t="s">
        <v>204</v>
      </c>
      <c r="D77" s="8">
        <v>1400000</v>
      </c>
      <c r="E77" t="s">
        <v>279</v>
      </c>
      <c r="F77">
        <v>1</v>
      </c>
    </row>
    <row r="78" spans="1:6" x14ac:dyDescent="0.3">
      <c r="A78" t="s">
        <v>13</v>
      </c>
      <c r="B78">
        <v>2022</v>
      </c>
      <c r="C78" t="s">
        <v>205</v>
      </c>
      <c r="D78" s="8">
        <v>68000</v>
      </c>
      <c r="E78" t="s">
        <v>164</v>
      </c>
      <c r="F78">
        <v>2</v>
      </c>
    </row>
    <row r="79" spans="1:6" x14ac:dyDescent="0.3">
      <c r="A79" t="s">
        <v>13</v>
      </c>
      <c r="B79">
        <v>2022</v>
      </c>
      <c r="C79" t="s">
        <v>206</v>
      </c>
      <c r="D79" s="8">
        <v>20000</v>
      </c>
      <c r="E79" t="s">
        <v>270</v>
      </c>
      <c r="F79">
        <v>3</v>
      </c>
    </row>
    <row r="80" spans="1:6" x14ac:dyDescent="0.3">
      <c r="A80" t="s">
        <v>13</v>
      </c>
      <c r="B80">
        <v>2023</v>
      </c>
      <c r="C80" t="s">
        <v>207</v>
      </c>
      <c r="D80" s="8">
        <v>943000</v>
      </c>
      <c r="E80" t="s">
        <v>170</v>
      </c>
      <c r="F80">
        <v>1</v>
      </c>
    </row>
    <row r="81" spans="1:6" x14ac:dyDescent="0.3">
      <c r="A81" t="s">
        <v>13</v>
      </c>
      <c r="B81">
        <v>2023</v>
      </c>
      <c r="C81" t="s">
        <v>204</v>
      </c>
      <c r="D81" s="8">
        <v>905000</v>
      </c>
      <c r="E81" t="s">
        <v>279</v>
      </c>
      <c r="F81">
        <v>2</v>
      </c>
    </row>
    <row r="82" spans="1:6" x14ac:dyDescent="0.3">
      <c r="A82" t="s">
        <v>13</v>
      </c>
      <c r="B82">
        <v>2023</v>
      </c>
      <c r="C82" t="s">
        <v>84</v>
      </c>
      <c r="D82" s="8">
        <v>262000</v>
      </c>
      <c r="E82" t="s">
        <v>43</v>
      </c>
      <c r="F82">
        <v>3</v>
      </c>
    </row>
    <row r="83" spans="1:6" x14ac:dyDescent="0.3">
      <c r="A83" t="s">
        <v>14</v>
      </c>
      <c r="B83">
        <v>2021</v>
      </c>
      <c r="C83" t="s">
        <v>208</v>
      </c>
      <c r="D83" s="8">
        <v>131000000</v>
      </c>
      <c r="E83" t="s">
        <v>145</v>
      </c>
      <c r="F83">
        <v>1</v>
      </c>
    </row>
    <row r="84" spans="1:6" x14ac:dyDescent="0.3">
      <c r="A84" t="s">
        <v>14</v>
      </c>
      <c r="B84">
        <v>2021</v>
      </c>
      <c r="C84" t="s">
        <v>209</v>
      </c>
      <c r="D84" s="8">
        <v>20400000</v>
      </c>
      <c r="E84" t="s">
        <v>270</v>
      </c>
      <c r="F84">
        <v>2</v>
      </c>
    </row>
    <row r="85" spans="1:6" x14ac:dyDescent="0.3">
      <c r="A85" t="s">
        <v>14</v>
      </c>
      <c r="B85">
        <v>2021</v>
      </c>
      <c r="C85" t="s">
        <v>190</v>
      </c>
      <c r="D85" s="8">
        <v>6970000</v>
      </c>
      <c r="E85" t="s">
        <v>155</v>
      </c>
      <c r="F85">
        <v>3</v>
      </c>
    </row>
    <row r="86" spans="1:6" x14ac:dyDescent="0.3">
      <c r="A86" t="s">
        <v>14</v>
      </c>
      <c r="B86">
        <v>2022</v>
      </c>
      <c r="C86" t="s">
        <v>208</v>
      </c>
      <c r="D86" s="8">
        <v>115000000</v>
      </c>
      <c r="E86" t="s">
        <v>145</v>
      </c>
      <c r="F86">
        <v>1</v>
      </c>
    </row>
    <row r="87" spans="1:6" x14ac:dyDescent="0.3">
      <c r="A87" t="s">
        <v>14</v>
      </c>
      <c r="B87">
        <v>2022</v>
      </c>
      <c r="C87" t="s">
        <v>190</v>
      </c>
      <c r="D87" s="8">
        <v>31900000</v>
      </c>
      <c r="E87" t="s">
        <v>155</v>
      </c>
      <c r="F87">
        <v>2</v>
      </c>
    </row>
    <row r="88" spans="1:6" x14ac:dyDescent="0.3">
      <c r="A88" t="s">
        <v>14</v>
      </c>
      <c r="B88">
        <v>2022</v>
      </c>
      <c r="C88" t="s">
        <v>209</v>
      </c>
      <c r="D88" s="8">
        <v>31000000</v>
      </c>
      <c r="E88" t="s">
        <v>270</v>
      </c>
      <c r="F88">
        <v>3</v>
      </c>
    </row>
    <row r="89" spans="1:6" x14ac:dyDescent="0.3">
      <c r="A89" t="s">
        <v>14</v>
      </c>
      <c r="B89">
        <v>2023</v>
      </c>
      <c r="C89" t="s">
        <v>208</v>
      </c>
      <c r="D89" s="8">
        <v>169000000</v>
      </c>
      <c r="E89" t="s">
        <v>145</v>
      </c>
      <c r="F89">
        <v>1</v>
      </c>
    </row>
    <row r="90" spans="1:6" x14ac:dyDescent="0.3">
      <c r="A90" t="s">
        <v>14</v>
      </c>
      <c r="B90">
        <v>2023</v>
      </c>
      <c r="C90" t="s">
        <v>209</v>
      </c>
      <c r="D90" s="8">
        <v>27800000</v>
      </c>
      <c r="E90" t="s">
        <v>270</v>
      </c>
      <c r="F90">
        <v>2</v>
      </c>
    </row>
    <row r="91" spans="1:6" x14ac:dyDescent="0.3">
      <c r="A91" t="s">
        <v>14</v>
      </c>
      <c r="B91">
        <v>2023</v>
      </c>
      <c r="C91" t="s">
        <v>190</v>
      </c>
      <c r="D91" s="8">
        <v>11900000</v>
      </c>
      <c r="E91" t="s">
        <v>129</v>
      </c>
      <c r="F91">
        <v>3</v>
      </c>
    </row>
    <row r="92" spans="1:6" x14ac:dyDescent="0.3">
      <c r="A92" t="s">
        <v>15</v>
      </c>
      <c r="B92">
        <v>2021</v>
      </c>
      <c r="C92" t="s">
        <v>210</v>
      </c>
      <c r="D92" s="8">
        <v>19800000</v>
      </c>
      <c r="E92" t="s">
        <v>164</v>
      </c>
      <c r="F92">
        <v>1</v>
      </c>
    </row>
    <row r="93" spans="1:6" x14ac:dyDescent="0.3">
      <c r="A93" t="s">
        <v>15</v>
      </c>
      <c r="B93">
        <v>2021</v>
      </c>
      <c r="C93" t="s">
        <v>211</v>
      </c>
      <c r="D93" s="8">
        <v>10300000</v>
      </c>
      <c r="E93" t="s">
        <v>270</v>
      </c>
      <c r="F93">
        <v>2</v>
      </c>
    </row>
    <row r="94" spans="1:6" x14ac:dyDescent="0.3">
      <c r="A94" t="s">
        <v>15</v>
      </c>
      <c r="B94">
        <v>2021</v>
      </c>
      <c r="C94" t="s">
        <v>212</v>
      </c>
      <c r="D94" s="8">
        <v>5690000</v>
      </c>
      <c r="E94" t="s">
        <v>143</v>
      </c>
      <c r="F94">
        <v>3</v>
      </c>
    </row>
    <row r="95" spans="1:6" x14ac:dyDescent="0.3">
      <c r="A95" t="s">
        <v>15</v>
      </c>
      <c r="B95">
        <v>2022</v>
      </c>
      <c r="C95" t="s">
        <v>210</v>
      </c>
      <c r="D95" s="8">
        <v>13800000</v>
      </c>
      <c r="E95" t="s">
        <v>164</v>
      </c>
      <c r="F95">
        <v>1</v>
      </c>
    </row>
    <row r="96" spans="1:6" x14ac:dyDescent="0.3">
      <c r="A96" t="s">
        <v>15</v>
      </c>
      <c r="B96">
        <v>2022</v>
      </c>
      <c r="C96" t="s">
        <v>211</v>
      </c>
      <c r="D96" s="8">
        <v>6400000</v>
      </c>
      <c r="E96" t="s">
        <v>270</v>
      </c>
      <c r="F96">
        <v>2</v>
      </c>
    </row>
    <row r="97" spans="1:6" x14ac:dyDescent="0.3">
      <c r="A97" t="s">
        <v>15</v>
      </c>
      <c r="B97">
        <v>2022</v>
      </c>
      <c r="C97" t="s">
        <v>212</v>
      </c>
      <c r="D97" s="8">
        <v>4700000</v>
      </c>
      <c r="E97" t="s">
        <v>270</v>
      </c>
      <c r="F97">
        <v>3</v>
      </c>
    </row>
    <row r="98" spans="1:6" x14ac:dyDescent="0.3">
      <c r="A98" t="s">
        <v>15</v>
      </c>
      <c r="B98">
        <v>2023</v>
      </c>
      <c r="C98" t="s">
        <v>210</v>
      </c>
      <c r="D98" s="8">
        <v>65599999.999999993</v>
      </c>
      <c r="E98" t="s">
        <v>155</v>
      </c>
      <c r="F98">
        <v>1</v>
      </c>
    </row>
    <row r="99" spans="1:6" x14ac:dyDescent="0.3">
      <c r="A99" t="s">
        <v>15</v>
      </c>
      <c r="B99">
        <v>2023</v>
      </c>
      <c r="C99" t="s">
        <v>211</v>
      </c>
      <c r="D99" s="8">
        <v>5010000</v>
      </c>
      <c r="E99" t="s">
        <v>270</v>
      </c>
      <c r="F99">
        <v>2</v>
      </c>
    </row>
    <row r="100" spans="1:6" x14ac:dyDescent="0.3">
      <c r="A100" t="s">
        <v>15</v>
      </c>
      <c r="B100">
        <v>2023</v>
      </c>
      <c r="C100" t="s">
        <v>212</v>
      </c>
      <c r="D100" s="8">
        <v>3450000</v>
      </c>
      <c r="E100" t="s">
        <v>280</v>
      </c>
      <c r="F100">
        <v>3</v>
      </c>
    </row>
    <row r="101" spans="1:6" x14ac:dyDescent="0.3">
      <c r="A101" t="s">
        <v>16</v>
      </c>
      <c r="B101">
        <v>2021</v>
      </c>
      <c r="C101" t="s">
        <v>199</v>
      </c>
      <c r="D101" s="8">
        <v>41900000</v>
      </c>
      <c r="E101" t="s">
        <v>164</v>
      </c>
      <c r="F101">
        <v>1</v>
      </c>
    </row>
    <row r="102" spans="1:6" x14ac:dyDescent="0.3">
      <c r="A102" t="s">
        <v>16</v>
      </c>
      <c r="B102">
        <v>2021</v>
      </c>
      <c r="C102" t="s">
        <v>193</v>
      </c>
      <c r="D102" s="8">
        <v>13800000</v>
      </c>
      <c r="E102" t="s">
        <v>281</v>
      </c>
      <c r="F102">
        <v>2</v>
      </c>
    </row>
    <row r="103" spans="1:6" x14ac:dyDescent="0.3">
      <c r="A103" t="s">
        <v>16</v>
      </c>
      <c r="B103">
        <v>2021</v>
      </c>
      <c r="C103" t="s">
        <v>75</v>
      </c>
      <c r="D103" s="8">
        <v>6590000</v>
      </c>
      <c r="E103" t="s">
        <v>13</v>
      </c>
      <c r="F103">
        <v>3</v>
      </c>
    </row>
    <row r="104" spans="1:6" x14ac:dyDescent="0.3">
      <c r="A104" t="s">
        <v>16</v>
      </c>
      <c r="B104">
        <v>2022</v>
      </c>
      <c r="C104" t="s">
        <v>199</v>
      </c>
      <c r="D104" s="8">
        <v>22000000</v>
      </c>
      <c r="E104" t="s">
        <v>156</v>
      </c>
      <c r="F104">
        <v>1</v>
      </c>
    </row>
    <row r="105" spans="1:6" x14ac:dyDescent="0.3">
      <c r="A105" t="s">
        <v>16</v>
      </c>
      <c r="B105">
        <v>2022</v>
      </c>
      <c r="C105" t="s">
        <v>193</v>
      </c>
      <c r="D105" s="8">
        <v>13200000</v>
      </c>
      <c r="E105" t="s">
        <v>281</v>
      </c>
      <c r="F105">
        <v>2</v>
      </c>
    </row>
    <row r="106" spans="1:6" x14ac:dyDescent="0.3">
      <c r="A106" t="s">
        <v>16</v>
      </c>
      <c r="B106">
        <v>2022</v>
      </c>
      <c r="C106" t="s">
        <v>213</v>
      </c>
      <c r="D106" s="8">
        <v>6540000</v>
      </c>
      <c r="E106" t="s">
        <v>39</v>
      </c>
      <c r="F106">
        <v>3</v>
      </c>
    </row>
    <row r="107" spans="1:6" x14ac:dyDescent="0.3">
      <c r="A107" t="s">
        <v>16</v>
      </c>
      <c r="B107">
        <v>2023</v>
      </c>
      <c r="C107" t="s">
        <v>199</v>
      </c>
      <c r="D107" s="8">
        <v>32000000</v>
      </c>
      <c r="E107" t="s">
        <v>137</v>
      </c>
      <c r="F107">
        <v>1</v>
      </c>
    </row>
    <row r="108" spans="1:6" x14ac:dyDescent="0.3">
      <c r="A108" t="s">
        <v>16</v>
      </c>
      <c r="B108">
        <v>2023</v>
      </c>
      <c r="C108" t="s">
        <v>193</v>
      </c>
      <c r="D108" s="8">
        <v>11100000</v>
      </c>
      <c r="E108" t="s">
        <v>281</v>
      </c>
      <c r="F108">
        <v>2</v>
      </c>
    </row>
    <row r="109" spans="1:6" x14ac:dyDescent="0.3">
      <c r="A109" t="s">
        <v>16</v>
      </c>
      <c r="B109">
        <v>2023</v>
      </c>
      <c r="C109" t="s">
        <v>182</v>
      </c>
      <c r="D109" s="8">
        <v>5600000</v>
      </c>
      <c r="E109" t="s">
        <v>39</v>
      </c>
      <c r="F109">
        <v>3</v>
      </c>
    </row>
    <row r="110" spans="1:6" x14ac:dyDescent="0.3">
      <c r="A110" t="s">
        <v>17</v>
      </c>
      <c r="B110">
        <v>2021</v>
      </c>
      <c r="C110" t="s">
        <v>199</v>
      </c>
      <c r="D110" s="8">
        <v>3200000000</v>
      </c>
      <c r="E110" t="s">
        <v>137</v>
      </c>
      <c r="F110">
        <v>1</v>
      </c>
    </row>
    <row r="111" spans="1:6" x14ac:dyDescent="0.3">
      <c r="A111" t="s">
        <v>17</v>
      </c>
      <c r="B111">
        <v>2021</v>
      </c>
      <c r="C111" t="s">
        <v>214</v>
      </c>
      <c r="D111" s="8">
        <v>1600000000</v>
      </c>
      <c r="E111" t="s">
        <v>279</v>
      </c>
      <c r="F111">
        <v>2</v>
      </c>
    </row>
    <row r="112" spans="1:6" x14ac:dyDescent="0.3">
      <c r="A112" t="s">
        <v>17</v>
      </c>
      <c r="B112">
        <v>2021</v>
      </c>
      <c r="C112" t="s">
        <v>215</v>
      </c>
      <c r="D112" s="8">
        <v>817300000</v>
      </c>
      <c r="E112" t="s">
        <v>282</v>
      </c>
      <c r="F112">
        <v>3</v>
      </c>
    </row>
    <row r="113" spans="1:6" x14ac:dyDescent="0.3">
      <c r="A113" t="s">
        <v>17</v>
      </c>
      <c r="B113">
        <v>2022</v>
      </c>
      <c r="C113" t="s">
        <v>199</v>
      </c>
      <c r="D113" s="8">
        <v>4300000000</v>
      </c>
      <c r="E113" t="s">
        <v>137</v>
      </c>
      <c r="F113">
        <v>1</v>
      </c>
    </row>
    <row r="114" spans="1:6" x14ac:dyDescent="0.3">
      <c r="A114" t="s">
        <v>17</v>
      </c>
      <c r="B114">
        <v>2022</v>
      </c>
      <c r="C114" t="s">
        <v>214</v>
      </c>
      <c r="D114" s="8">
        <v>1400000000</v>
      </c>
      <c r="E114" t="s">
        <v>279</v>
      </c>
      <c r="F114">
        <v>2</v>
      </c>
    </row>
    <row r="115" spans="1:6" x14ac:dyDescent="0.3">
      <c r="A115" t="s">
        <v>17</v>
      </c>
      <c r="B115">
        <v>2022</v>
      </c>
      <c r="C115" t="s">
        <v>215</v>
      </c>
      <c r="D115" s="8">
        <v>937100000</v>
      </c>
      <c r="E115" t="s">
        <v>282</v>
      </c>
      <c r="F115">
        <v>3</v>
      </c>
    </row>
    <row r="116" spans="1:6" x14ac:dyDescent="0.3">
      <c r="A116" t="s">
        <v>17</v>
      </c>
      <c r="B116">
        <v>2023</v>
      </c>
      <c r="C116" t="s">
        <v>199</v>
      </c>
      <c r="D116" s="8">
        <v>3300000000</v>
      </c>
      <c r="E116" t="s">
        <v>137</v>
      </c>
      <c r="F116">
        <v>1</v>
      </c>
    </row>
    <row r="117" spans="1:6" x14ac:dyDescent="0.3">
      <c r="A117" t="s">
        <v>17</v>
      </c>
      <c r="B117">
        <v>2023</v>
      </c>
      <c r="C117" t="s">
        <v>214</v>
      </c>
      <c r="D117" s="8">
        <v>1700000000</v>
      </c>
      <c r="E117" t="s">
        <v>279</v>
      </c>
      <c r="F117">
        <v>2</v>
      </c>
    </row>
    <row r="118" spans="1:6" x14ac:dyDescent="0.3">
      <c r="A118" t="s">
        <v>17</v>
      </c>
      <c r="B118">
        <v>2023</v>
      </c>
      <c r="C118" t="s">
        <v>215</v>
      </c>
      <c r="D118" s="8">
        <v>1000000000</v>
      </c>
      <c r="E118" t="s">
        <v>282</v>
      </c>
      <c r="F118">
        <v>3</v>
      </c>
    </row>
    <row r="119" spans="1:6" x14ac:dyDescent="0.3">
      <c r="A119" t="s">
        <v>18</v>
      </c>
      <c r="B119">
        <v>2021</v>
      </c>
      <c r="C119" t="s">
        <v>199</v>
      </c>
      <c r="D119" s="8">
        <v>109000000</v>
      </c>
      <c r="E119" t="s">
        <v>164</v>
      </c>
      <c r="F119">
        <v>1</v>
      </c>
    </row>
    <row r="120" spans="1:6" x14ac:dyDescent="0.3">
      <c r="A120" t="s">
        <v>18</v>
      </c>
      <c r="B120">
        <v>2021</v>
      </c>
      <c r="C120" t="s">
        <v>193</v>
      </c>
      <c r="D120" s="8">
        <v>29200000</v>
      </c>
      <c r="E120" t="s">
        <v>281</v>
      </c>
      <c r="F120">
        <v>2</v>
      </c>
    </row>
    <row r="121" spans="1:6" x14ac:dyDescent="0.3">
      <c r="A121" t="s">
        <v>18</v>
      </c>
      <c r="B121">
        <v>2021</v>
      </c>
      <c r="C121" t="s">
        <v>182</v>
      </c>
      <c r="D121" s="8">
        <v>16400000</v>
      </c>
      <c r="E121" t="s">
        <v>39</v>
      </c>
      <c r="F121">
        <v>3</v>
      </c>
    </row>
    <row r="122" spans="1:6" x14ac:dyDescent="0.3">
      <c r="A122" t="s">
        <v>18</v>
      </c>
      <c r="B122">
        <v>2022</v>
      </c>
      <c r="C122" t="s">
        <v>199</v>
      </c>
      <c r="D122" s="8">
        <v>102000000</v>
      </c>
      <c r="E122" t="s">
        <v>164</v>
      </c>
      <c r="F122">
        <v>1</v>
      </c>
    </row>
    <row r="123" spans="1:6" x14ac:dyDescent="0.3">
      <c r="A123" t="s">
        <v>18</v>
      </c>
      <c r="B123">
        <v>2022</v>
      </c>
      <c r="C123" t="s">
        <v>193</v>
      </c>
      <c r="D123" s="8">
        <v>34200000</v>
      </c>
      <c r="E123" t="s">
        <v>281</v>
      </c>
      <c r="F123">
        <v>2</v>
      </c>
    </row>
    <row r="124" spans="1:6" x14ac:dyDescent="0.3">
      <c r="A124" t="s">
        <v>18</v>
      </c>
      <c r="B124">
        <v>2022</v>
      </c>
      <c r="C124" t="s">
        <v>182</v>
      </c>
      <c r="D124" s="8">
        <v>16000000</v>
      </c>
      <c r="E124" t="s">
        <v>39</v>
      </c>
      <c r="F124">
        <v>3</v>
      </c>
    </row>
    <row r="125" spans="1:6" x14ac:dyDescent="0.3">
      <c r="A125" t="s">
        <v>18</v>
      </c>
      <c r="B125">
        <v>2023</v>
      </c>
      <c r="C125" t="s">
        <v>199</v>
      </c>
      <c r="D125" s="8">
        <v>109000000</v>
      </c>
      <c r="E125" t="s">
        <v>164</v>
      </c>
      <c r="F125">
        <v>1</v>
      </c>
    </row>
    <row r="126" spans="1:6" x14ac:dyDescent="0.3">
      <c r="A126" t="s">
        <v>18</v>
      </c>
      <c r="B126">
        <v>2023</v>
      </c>
      <c r="C126" t="s">
        <v>193</v>
      </c>
      <c r="D126" s="8">
        <v>29200000</v>
      </c>
      <c r="E126" t="s">
        <v>281</v>
      </c>
      <c r="F126">
        <v>2</v>
      </c>
    </row>
    <row r="127" spans="1:6" x14ac:dyDescent="0.3">
      <c r="A127" t="s">
        <v>18</v>
      </c>
      <c r="B127">
        <v>2023</v>
      </c>
      <c r="C127" t="s">
        <v>182</v>
      </c>
      <c r="D127" s="8">
        <v>16400000</v>
      </c>
      <c r="E127" t="s">
        <v>39</v>
      </c>
      <c r="F127">
        <v>3</v>
      </c>
    </row>
    <row r="128" spans="1:6" x14ac:dyDescent="0.3">
      <c r="A128" t="s">
        <v>19</v>
      </c>
      <c r="B128">
        <v>2021</v>
      </c>
      <c r="C128" t="s">
        <v>84</v>
      </c>
      <c r="D128" s="8">
        <v>649500000</v>
      </c>
      <c r="E128" t="s">
        <v>24</v>
      </c>
      <c r="F128">
        <v>1</v>
      </c>
    </row>
    <row r="129" spans="1:6" x14ac:dyDescent="0.3">
      <c r="A129" t="s">
        <v>19</v>
      </c>
      <c r="B129">
        <v>2021</v>
      </c>
      <c r="C129" t="s">
        <v>216</v>
      </c>
      <c r="D129" s="8">
        <v>407000000</v>
      </c>
      <c r="E129" t="s">
        <v>24</v>
      </c>
      <c r="F129">
        <v>2</v>
      </c>
    </row>
    <row r="130" spans="1:6" x14ac:dyDescent="0.3">
      <c r="A130" t="s">
        <v>19</v>
      </c>
      <c r="B130">
        <v>2021</v>
      </c>
      <c r="C130" t="s">
        <v>217</v>
      </c>
      <c r="D130" s="8">
        <v>284600000</v>
      </c>
      <c r="E130" t="s">
        <v>24</v>
      </c>
      <c r="F130">
        <v>3</v>
      </c>
    </row>
    <row r="131" spans="1:6" x14ac:dyDescent="0.3">
      <c r="A131" t="s">
        <v>19</v>
      </c>
      <c r="B131">
        <v>2022</v>
      </c>
      <c r="C131" t="s">
        <v>84</v>
      </c>
      <c r="D131" s="8">
        <v>546500000</v>
      </c>
      <c r="E131" t="s">
        <v>24</v>
      </c>
      <c r="F131">
        <v>1</v>
      </c>
    </row>
    <row r="132" spans="1:6" x14ac:dyDescent="0.3">
      <c r="A132" t="s">
        <v>19</v>
      </c>
      <c r="B132">
        <v>2022</v>
      </c>
      <c r="C132" t="s">
        <v>216</v>
      </c>
      <c r="D132" s="8">
        <v>272000000</v>
      </c>
      <c r="E132" t="s">
        <v>24</v>
      </c>
      <c r="F132">
        <v>2</v>
      </c>
    </row>
    <row r="133" spans="1:6" x14ac:dyDescent="0.3">
      <c r="A133" t="s">
        <v>19</v>
      </c>
      <c r="B133">
        <v>2022</v>
      </c>
      <c r="C133" t="s">
        <v>217</v>
      </c>
      <c r="D133" s="8">
        <v>252700000</v>
      </c>
      <c r="E133" t="s">
        <v>24</v>
      </c>
      <c r="F133">
        <v>3</v>
      </c>
    </row>
    <row r="134" spans="1:6" x14ac:dyDescent="0.3">
      <c r="A134" t="s">
        <v>19</v>
      </c>
      <c r="B134">
        <v>2023</v>
      </c>
      <c r="C134" t="s">
        <v>84</v>
      </c>
      <c r="D134" s="8">
        <v>539000000</v>
      </c>
      <c r="E134" t="s">
        <v>24</v>
      </c>
      <c r="F134">
        <v>1</v>
      </c>
    </row>
    <row r="135" spans="1:6" x14ac:dyDescent="0.3">
      <c r="A135" t="s">
        <v>19</v>
      </c>
      <c r="B135">
        <v>2023</v>
      </c>
      <c r="C135" t="s">
        <v>216</v>
      </c>
      <c r="D135" s="8">
        <v>424200000</v>
      </c>
      <c r="E135" t="s">
        <v>24</v>
      </c>
      <c r="F135">
        <v>2</v>
      </c>
    </row>
    <row r="136" spans="1:6" x14ac:dyDescent="0.3">
      <c r="A136" t="s">
        <v>19</v>
      </c>
      <c r="B136">
        <v>2023</v>
      </c>
      <c r="C136" t="s">
        <v>217</v>
      </c>
      <c r="D136" s="8">
        <v>388200000</v>
      </c>
      <c r="E136" t="s">
        <v>24</v>
      </c>
      <c r="F136">
        <v>3</v>
      </c>
    </row>
    <row r="137" spans="1:6" x14ac:dyDescent="0.3">
      <c r="A137" t="s">
        <v>20</v>
      </c>
      <c r="B137">
        <v>2021</v>
      </c>
      <c r="C137" t="s">
        <v>218</v>
      </c>
      <c r="D137" s="8">
        <v>635300000</v>
      </c>
      <c r="E137" t="s">
        <v>283</v>
      </c>
      <c r="F137">
        <v>1</v>
      </c>
    </row>
    <row r="138" spans="1:6" x14ac:dyDescent="0.3">
      <c r="A138" t="s">
        <v>20</v>
      </c>
      <c r="B138">
        <v>2021</v>
      </c>
      <c r="C138" t="s">
        <v>207</v>
      </c>
      <c r="D138" s="8">
        <v>369700000</v>
      </c>
      <c r="E138" t="s">
        <v>284</v>
      </c>
      <c r="F138">
        <v>2</v>
      </c>
    </row>
    <row r="139" spans="1:6" x14ac:dyDescent="0.3">
      <c r="A139" t="s">
        <v>20</v>
      </c>
      <c r="B139">
        <v>2021</v>
      </c>
      <c r="C139" t="s">
        <v>219</v>
      </c>
      <c r="D139" s="8">
        <v>338900000</v>
      </c>
      <c r="E139" t="s">
        <v>279</v>
      </c>
      <c r="F139">
        <v>3</v>
      </c>
    </row>
    <row r="140" spans="1:6" x14ac:dyDescent="0.3">
      <c r="A140" t="s">
        <v>20</v>
      </c>
      <c r="B140">
        <v>2022</v>
      </c>
      <c r="C140" t="s">
        <v>218</v>
      </c>
      <c r="D140" s="8">
        <v>576100000</v>
      </c>
      <c r="E140" t="s">
        <v>283</v>
      </c>
      <c r="F140">
        <v>1</v>
      </c>
    </row>
    <row r="141" spans="1:6" x14ac:dyDescent="0.3">
      <c r="A141" t="s">
        <v>20</v>
      </c>
      <c r="B141">
        <v>2022</v>
      </c>
      <c r="C141" t="s">
        <v>207</v>
      </c>
      <c r="D141" s="8">
        <v>411600000</v>
      </c>
      <c r="E141" t="s">
        <v>284</v>
      </c>
      <c r="F141">
        <v>2</v>
      </c>
    </row>
    <row r="142" spans="1:6" x14ac:dyDescent="0.3">
      <c r="A142" t="s">
        <v>20</v>
      </c>
      <c r="B142">
        <v>2022</v>
      </c>
      <c r="C142" t="s">
        <v>219</v>
      </c>
      <c r="D142" s="8">
        <v>265500000</v>
      </c>
      <c r="E142" t="s">
        <v>143</v>
      </c>
      <c r="F142">
        <v>3</v>
      </c>
    </row>
    <row r="143" spans="1:6" x14ac:dyDescent="0.3">
      <c r="A143" t="s">
        <v>20</v>
      </c>
      <c r="B143">
        <v>2023</v>
      </c>
      <c r="C143" t="s">
        <v>218</v>
      </c>
      <c r="D143" s="8">
        <v>798000000</v>
      </c>
      <c r="E143" t="s">
        <v>283</v>
      </c>
      <c r="F143">
        <v>1</v>
      </c>
    </row>
    <row r="144" spans="1:6" x14ac:dyDescent="0.3">
      <c r="A144" t="s">
        <v>20</v>
      </c>
      <c r="B144">
        <v>2023</v>
      </c>
      <c r="C144" t="s">
        <v>207</v>
      </c>
      <c r="D144" s="8">
        <v>439700000</v>
      </c>
      <c r="E144" t="s">
        <v>284</v>
      </c>
      <c r="F144">
        <v>2</v>
      </c>
    </row>
    <row r="145" spans="1:6" x14ac:dyDescent="0.3">
      <c r="A145" t="s">
        <v>20</v>
      </c>
      <c r="B145">
        <v>2023</v>
      </c>
      <c r="C145" t="s">
        <v>219</v>
      </c>
      <c r="D145" s="8">
        <v>426500000</v>
      </c>
      <c r="E145" t="s">
        <v>279</v>
      </c>
      <c r="F145">
        <v>3</v>
      </c>
    </row>
    <row r="146" spans="1:6" x14ac:dyDescent="0.3">
      <c r="A146" t="s">
        <v>21</v>
      </c>
      <c r="B146">
        <v>2021</v>
      </c>
      <c r="C146" t="s">
        <v>199</v>
      </c>
      <c r="D146" s="8">
        <v>1480000</v>
      </c>
      <c r="E146" t="s">
        <v>170</v>
      </c>
      <c r="F146">
        <v>1</v>
      </c>
    </row>
    <row r="147" spans="1:6" x14ac:dyDescent="0.3">
      <c r="A147" t="s">
        <v>21</v>
      </c>
      <c r="B147">
        <v>2021</v>
      </c>
      <c r="C147" t="s">
        <v>77</v>
      </c>
      <c r="D147" s="8">
        <v>214000</v>
      </c>
      <c r="E147" t="s">
        <v>12</v>
      </c>
      <c r="F147">
        <v>2</v>
      </c>
    </row>
    <row r="148" spans="1:6" x14ac:dyDescent="0.3">
      <c r="A148" t="s">
        <v>21</v>
      </c>
      <c r="B148">
        <v>2021</v>
      </c>
      <c r="C148" t="s">
        <v>195</v>
      </c>
      <c r="D148" s="8">
        <v>166000</v>
      </c>
      <c r="E148" t="s">
        <v>12</v>
      </c>
      <c r="F148">
        <v>3</v>
      </c>
    </row>
    <row r="149" spans="1:6" x14ac:dyDescent="0.3">
      <c r="A149" t="s">
        <v>21</v>
      </c>
      <c r="B149">
        <v>2022</v>
      </c>
      <c r="C149" t="s">
        <v>199</v>
      </c>
      <c r="D149" s="8">
        <v>1950000</v>
      </c>
      <c r="E149" t="s">
        <v>170</v>
      </c>
      <c r="F149">
        <v>1</v>
      </c>
    </row>
    <row r="150" spans="1:6" x14ac:dyDescent="0.3">
      <c r="A150" t="s">
        <v>21</v>
      </c>
      <c r="B150">
        <v>2022</v>
      </c>
      <c r="C150" t="s">
        <v>65</v>
      </c>
      <c r="D150" s="8">
        <v>563000</v>
      </c>
      <c r="E150" t="s">
        <v>45</v>
      </c>
      <c r="F150">
        <v>2</v>
      </c>
    </row>
    <row r="151" spans="1:6" x14ac:dyDescent="0.3">
      <c r="A151" t="s">
        <v>21</v>
      </c>
      <c r="B151">
        <v>2022</v>
      </c>
      <c r="C151" t="s">
        <v>77</v>
      </c>
      <c r="D151" s="8">
        <v>87800</v>
      </c>
      <c r="E151" t="s">
        <v>45</v>
      </c>
      <c r="F151">
        <v>3</v>
      </c>
    </row>
    <row r="152" spans="1:6" x14ac:dyDescent="0.3">
      <c r="A152" t="s">
        <v>21</v>
      </c>
      <c r="B152">
        <v>2023</v>
      </c>
      <c r="C152" t="s">
        <v>199</v>
      </c>
      <c r="D152" s="8">
        <v>1350000</v>
      </c>
      <c r="E152" t="s">
        <v>170</v>
      </c>
      <c r="F152">
        <v>1</v>
      </c>
    </row>
    <row r="153" spans="1:6" x14ac:dyDescent="0.3">
      <c r="A153" t="s">
        <v>21</v>
      </c>
      <c r="B153">
        <v>2023</v>
      </c>
      <c r="F153">
        <v>2</v>
      </c>
    </row>
    <row r="154" spans="1:6" x14ac:dyDescent="0.3">
      <c r="A154" t="s">
        <v>21</v>
      </c>
      <c r="B154">
        <v>2023</v>
      </c>
      <c r="F154">
        <v>3</v>
      </c>
    </row>
    <row r="155" spans="1:6" x14ac:dyDescent="0.3">
      <c r="A155" t="s">
        <v>22</v>
      </c>
      <c r="B155">
        <v>2021</v>
      </c>
      <c r="C155" t="s">
        <v>220</v>
      </c>
      <c r="D155" s="8">
        <v>462000</v>
      </c>
      <c r="E155" t="s">
        <v>27</v>
      </c>
      <c r="F155">
        <v>1</v>
      </c>
    </row>
    <row r="156" spans="1:6" x14ac:dyDescent="0.3">
      <c r="A156" t="s">
        <v>22</v>
      </c>
      <c r="B156">
        <v>2021</v>
      </c>
      <c r="C156" t="s">
        <v>180</v>
      </c>
      <c r="D156" s="8">
        <v>254000</v>
      </c>
      <c r="E156" t="s">
        <v>274</v>
      </c>
      <c r="F156">
        <v>2</v>
      </c>
    </row>
    <row r="157" spans="1:6" x14ac:dyDescent="0.3">
      <c r="A157" t="s">
        <v>22</v>
      </c>
      <c r="B157">
        <v>2021</v>
      </c>
      <c r="C157" t="s">
        <v>59</v>
      </c>
      <c r="D157" s="8">
        <v>252000</v>
      </c>
      <c r="E157" t="s">
        <v>34</v>
      </c>
      <c r="F157">
        <v>3</v>
      </c>
    </row>
    <row r="158" spans="1:6" x14ac:dyDescent="0.3">
      <c r="A158" t="s">
        <v>22</v>
      </c>
      <c r="B158">
        <v>2022</v>
      </c>
      <c r="C158" t="s">
        <v>59</v>
      </c>
      <c r="D158" s="8">
        <v>17400000</v>
      </c>
      <c r="E158" t="s">
        <v>34</v>
      </c>
      <c r="F158">
        <v>1</v>
      </c>
    </row>
    <row r="159" spans="1:6" x14ac:dyDescent="0.3">
      <c r="A159" t="s">
        <v>22</v>
      </c>
      <c r="B159">
        <v>2022</v>
      </c>
      <c r="C159" t="s">
        <v>180</v>
      </c>
      <c r="D159" s="8">
        <v>62700</v>
      </c>
      <c r="E159" t="s">
        <v>274</v>
      </c>
      <c r="F159">
        <v>2</v>
      </c>
    </row>
    <row r="160" spans="1:6" x14ac:dyDescent="0.3">
      <c r="A160" t="s">
        <v>22</v>
      </c>
      <c r="B160">
        <v>2022</v>
      </c>
      <c r="F160">
        <v>3</v>
      </c>
    </row>
    <row r="161" spans="1:6" x14ac:dyDescent="0.3">
      <c r="A161" t="s">
        <v>22</v>
      </c>
      <c r="B161">
        <v>2023</v>
      </c>
      <c r="C161" t="s">
        <v>220</v>
      </c>
      <c r="D161" s="8">
        <v>462000</v>
      </c>
      <c r="E161" t="s">
        <v>27</v>
      </c>
      <c r="F161">
        <v>1</v>
      </c>
    </row>
    <row r="162" spans="1:6" x14ac:dyDescent="0.3">
      <c r="A162" t="s">
        <v>22</v>
      </c>
      <c r="B162">
        <v>2023</v>
      </c>
      <c r="C162" t="s">
        <v>180</v>
      </c>
      <c r="D162" s="8">
        <v>254000</v>
      </c>
      <c r="E162" t="s">
        <v>274</v>
      </c>
      <c r="F162">
        <v>2</v>
      </c>
    </row>
    <row r="163" spans="1:6" x14ac:dyDescent="0.3">
      <c r="A163" t="s">
        <v>22</v>
      </c>
      <c r="B163">
        <v>2023</v>
      </c>
      <c r="C163" t="s">
        <v>59</v>
      </c>
      <c r="D163" s="8">
        <v>252000</v>
      </c>
      <c r="E163" t="s">
        <v>34</v>
      </c>
      <c r="F163">
        <v>3</v>
      </c>
    </row>
    <row r="164" spans="1:6" x14ac:dyDescent="0.3">
      <c r="A164" t="s">
        <v>23</v>
      </c>
      <c r="B164">
        <v>2021</v>
      </c>
      <c r="C164" t="s">
        <v>75</v>
      </c>
      <c r="D164" s="8">
        <v>313000000</v>
      </c>
      <c r="E164" t="s">
        <v>50</v>
      </c>
      <c r="F164">
        <v>1</v>
      </c>
    </row>
    <row r="165" spans="1:6" x14ac:dyDescent="0.3">
      <c r="A165" t="s">
        <v>23</v>
      </c>
      <c r="B165">
        <v>2021</v>
      </c>
      <c r="C165" t="s">
        <v>221</v>
      </c>
      <c r="D165" s="8">
        <v>36800000</v>
      </c>
      <c r="E165" t="s">
        <v>50</v>
      </c>
      <c r="F165">
        <v>2</v>
      </c>
    </row>
    <row r="166" spans="1:6" x14ac:dyDescent="0.3">
      <c r="A166" t="s">
        <v>23</v>
      </c>
      <c r="B166">
        <v>2021</v>
      </c>
      <c r="C166" t="s">
        <v>222</v>
      </c>
      <c r="D166" s="8">
        <v>34000000</v>
      </c>
      <c r="E166" t="s">
        <v>50</v>
      </c>
      <c r="F166">
        <v>3</v>
      </c>
    </row>
    <row r="167" spans="1:6" x14ac:dyDescent="0.3">
      <c r="A167" t="s">
        <v>23</v>
      </c>
      <c r="B167">
        <v>2022</v>
      </c>
      <c r="C167" t="s">
        <v>75</v>
      </c>
      <c r="D167" s="8">
        <v>384200000</v>
      </c>
      <c r="E167" t="s">
        <v>50</v>
      </c>
      <c r="F167">
        <v>1</v>
      </c>
    </row>
    <row r="168" spans="1:6" x14ac:dyDescent="0.3">
      <c r="A168" t="s">
        <v>23</v>
      </c>
      <c r="B168">
        <v>2022</v>
      </c>
      <c r="C168" t="s">
        <v>221</v>
      </c>
      <c r="D168" s="8">
        <v>32900000</v>
      </c>
      <c r="E168" t="s">
        <v>50</v>
      </c>
      <c r="F168">
        <v>2</v>
      </c>
    </row>
    <row r="169" spans="1:6" x14ac:dyDescent="0.3">
      <c r="A169" t="s">
        <v>23</v>
      </c>
      <c r="B169">
        <v>2022</v>
      </c>
      <c r="C169" t="s">
        <v>222</v>
      </c>
      <c r="D169" s="8">
        <v>32900000</v>
      </c>
      <c r="E169" t="s">
        <v>50</v>
      </c>
      <c r="F169">
        <v>3</v>
      </c>
    </row>
    <row r="170" spans="1:6" x14ac:dyDescent="0.3">
      <c r="A170" t="s">
        <v>23</v>
      </c>
      <c r="B170">
        <v>2023</v>
      </c>
      <c r="C170" t="s">
        <v>75</v>
      </c>
      <c r="D170" s="8">
        <v>368900000</v>
      </c>
      <c r="E170" t="s">
        <v>50</v>
      </c>
      <c r="F170">
        <v>1</v>
      </c>
    </row>
    <row r="171" spans="1:6" x14ac:dyDescent="0.3">
      <c r="A171" t="s">
        <v>23</v>
      </c>
      <c r="B171">
        <v>2023</v>
      </c>
      <c r="C171" t="s">
        <v>221</v>
      </c>
      <c r="D171" s="8">
        <v>44100000</v>
      </c>
      <c r="E171" t="s">
        <v>50</v>
      </c>
      <c r="F171">
        <v>2</v>
      </c>
    </row>
    <row r="172" spans="1:6" x14ac:dyDescent="0.3">
      <c r="A172" t="s">
        <v>23</v>
      </c>
      <c r="B172">
        <v>2023</v>
      </c>
      <c r="C172" t="s">
        <v>222</v>
      </c>
      <c r="D172" s="8">
        <v>38700000</v>
      </c>
      <c r="E172" t="s">
        <v>50</v>
      </c>
      <c r="F172">
        <v>3</v>
      </c>
    </row>
    <row r="173" spans="1:6" x14ac:dyDescent="0.3">
      <c r="A173" t="s">
        <v>24</v>
      </c>
      <c r="B173">
        <v>2021</v>
      </c>
      <c r="C173" t="s">
        <v>193</v>
      </c>
      <c r="D173" s="8">
        <v>1500000000</v>
      </c>
      <c r="E173" t="s">
        <v>143</v>
      </c>
      <c r="F173">
        <v>1</v>
      </c>
    </row>
    <row r="174" spans="1:6" x14ac:dyDescent="0.3">
      <c r="A174" t="s">
        <v>24</v>
      </c>
      <c r="B174">
        <v>2021</v>
      </c>
      <c r="C174" t="s">
        <v>223</v>
      </c>
      <c r="D174" s="8">
        <v>261600000</v>
      </c>
      <c r="E174" t="s">
        <v>137</v>
      </c>
      <c r="F174">
        <v>2</v>
      </c>
    </row>
    <row r="175" spans="1:6" x14ac:dyDescent="0.3">
      <c r="A175" t="s">
        <v>24</v>
      </c>
      <c r="B175">
        <v>2021</v>
      </c>
      <c r="C175" t="s">
        <v>224</v>
      </c>
      <c r="D175" s="8">
        <v>232500000</v>
      </c>
      <c r="E175" t="s">
        <v>49</v>
      </c>
      <c r="F175">
        <v>3</v>
      </c>
    </row>
    <row r="176" spans="1:6" x14ac:dyDescent="0.3">
      <c r="A176" t="s">
        <v>24</v>
      </c>
      <c r="B176">
        <v>2022</v>
      </c>
      <c r="C176" t="s">
        <v>193</v>
      </c>
      <c r="D176" s="8">
        <v>1200000000</v>
      </c>
      <c r="E176" t="s">
        <v>143</v>
      </c>
      <c r="F176">
        <v>1</v>
      </c>
    </row>
    <row r="177" spans="1:6" x14ac:dyDescent="0.3">
      <c r="A177" t="s">
        <v>24</v>
      </c>
      <c r="B177">
        <v>2022</v>
      </c>
      <c r="C177" t="s">
        <v>223</v>
      </c>
      <c r="D177" s="8">
        <v>296300000</v>
      </c>
      <c r="E177" t="s">
        <v>137</v>
      </c>
      <c r="F177">
        <v>2</v>
      </c>
    </row>
    <row r="178" spans="1:6" x14ac:dyDescent="0.3">
      <c r="A178" t="s">
        <v>24</v>
      </c>
      <c r="B178">
        <v>2022</v>
      </c>
      <c r="C178" t="s">
        <v>205</v>
      </c>
      <c r="D178" s="8">
        <v>286000000</v>
      </c>
      <c r="E178" t="s">
        <v>285</v>
      </c>
      <c r="F178">
        <v>3</v>
      </c>
    </row>
    <row r="179" spans="1:6" x14ac:dyDescent="0.3">
      <c r="A179" t="s">
        <v>24</v>
      </c>
      <c r="B179">
        <v>2023</v>
      </c>
      <c r="C179" t="s">
        <v>193</v>
      </c>
      <c r="D179" s="8">
        <v>1200000000</v>
      </c>
      <c r="E179" t="s">
        <v>284</v>
      </c>
      <c r="F179">
        <v>1</v>
      </c>
    </row>
    <row r="180" spans="1:6" x14ac:dyDescent="0.3">
      <c r="A180" t="s">
        <v>24</v>
      </c>
      <c r="B180">
        <v>2023</v>
      </c>
      <c r="C180" t="s">
        <v>223</v>
      </c>
      <c r="D180" s="8">
        <v>268100000</v>
      </c>
      <c r="E180" t="s">
        <v>137</v>
      </c>
      <c r="F180">
        <v>2</v>
      </c>
    </row>
    <row r="181" spans="1:6" x14ac:dyDescent="0.3">
      <c r="A181" t="s">
        <v>24</v>
      </c>
      <c r="B181">
        <v>2023</v>
      </c>
      <c r="C181" t="s">
        <v>205</v>
      </c>
      <c r="D181" s="8">
        <v>233200000</v>
      </c>
      <c r="E181" t="s">
        <v>285</v>
      </c>
      <c r="F181">
        <v>3</v>
      </c>
    </row>
    <row r="182" spans="1:6" x14ac:dyDescent="0.3">
      <c r="A182" t="s">
        <v>25</v>
      </c>
      <c r="B182">
        <v>2021</v>
      </c>
      <c r="C182" t="s">
        <v>84</v>
      </c>
      <c r="D182" s="8">
        <v>137100000</v>
      </c>
      <c r="E182" t="s">
        <v>12</v>
      </c>
      <c r="F182">
        <v>1</v>
      </c>
    </row>
    <row r="183" spans="1:6" x14ac:dyDescent="0.3">
      <c r="A183" t="s">
        <v>25</v>
      </c>
      <c r="B183">
        <v>2021</v>
      </c>
      <c r="C183" t="s">
        <v>214</v>
      </c>
      <c r="D183" s="8">
        <v>13800000</v>
      </c>
      <c r="E183" t="s">
        <v>156</v>
      </c>
      <c r="F183">
        <v>2</v>
      </c>
    </row>
    <row r="184" spans="1:6" x14ac:dyDescent="0.3">
      <c r="A184" t="s">
        <v>25</v>
      </c>
      <c r="B184">
        <v>2021</v>
      </c>
      <c r="C184" t="s">
        <v>225</v>
      </c>
      <c r="D184" s="8">
        <v>8800000</v>
      </c>
      <c r="E184" t="s">
        <v>170</v>
      </c>
      <c r="F184">
        <v>3</v>
      </c>
    </row>
    <row r="185" spans="1:6" x14ac:dyDescent="0.3">
      <c r="A185" t="s">
        <v>25</v>
      </c>
      <c r="B185">
        <v>2022</v>
      </c>
      <c r="C185" t="s">
        <v>84</v>
      </c>
      <c r="D185" s="8">
        <v>72600000</v>
      </c>
      <c r="E185" t="s">
        <v>12</v>
      </c>
      <c r="F185">
        <v>1</v>
      </c>
    </row>
    <row r="186" spans="1:6" x14ac:dyDescent="0.3">
      <c r="A186" t="s">
        <v>25</v>
      </c>
      <c r="B186">
        <v>2022</v>
      </c>
      <c r="C186" t="s">
        <v>214</v>
      </c>
      <c r="D186" s="8">
        <v>10000000</v>
      </c>
      <c r="E186" t="s">
        <v>270</v>
      </c>
      <c r="F186">
        <v>2</v>
      </c>
    </row>
    <row r="187" spans="1:6" x14ac:dyDescent="0.3">
      <c r="A187" t="s">
        <v>25</v>
      </c>
      <c r="B187">
        <v>2022</v>
      </c>
      <c r="C187" t="s">
        <v>225</v>
      </c>
      <c r="D187" s="8">
        <v>8500000</v>
      </c>
      <c r="E187" t="s">
        <v>170</v>
      </c>
      <c r="F187">
        <v>3</v>
      </c>
    </row>
    <row r="188" spans="1:6" x14ac:dyDescent="0.3">
      <c r="A188" t="s">
        <v>25</v>
      </c>
      <c r="B188">
        <v>2023</v>
      </c>
      <c r="C188" t="s">
        <v>84</v>
      </c>
      <c r="D188" s="8">
        <v>96800000</v>
      </c>
      <c r="E188" t="s">
        <v>12</v>
      </c>
      <c r="F188">
        <v>1</v>
      </c>
    </row>
    <row r="189" spans="1:6" x14ac:dyDescent="0.3">
      <c r="A189" t="s">
        <v>25</v>
      </c>
      <c r="B189">
        <v>2023</v>
      </c>
      <c r="C189" t="s">
        <v>214</v>
      </c>
      <c r="D189" s="8">
        <v>20200000</v>
      </c>
      <c r="E189" t="s">
        <v>156</v>
      </c>
      <c r="F189">
        <v>2</v>
      </c>
    </row>
    <row r="190" spans="1:6" x14ac:dyDescent="0.3">
      <c r="A190" t="s">
        <v>25</v>
      </c>
      <c r="B190">
        <v>2023</v>
      </c>
      <c r="C190" t="s">
        <v>226</v>
      </c>
      <c r="D190" s="8">
        <v>8500000</v>
      </c>
      <c r="E190" t="s">
        <v>46</v>
      </c>
      <c r="F190">
        <v>3</v>
      </c>
    </row>
    <row r="191" spans="1:6" x14ac:dyDescent="0.3">
      <c r="A191" t="s">
        <v>26</v>
      </c>
      <c r="B191">
        <v>2021</v>
      </c>
      <c r="C191" t="s">
        <v>227</v>
      </c>
      <c r="D191" s="8">
        <v>31000000</v>
      </c>
      <c r="E191" t="s">
        <v>164</v>
      </c>
      <c r="F191">
        <v>1</v>
      </c>
    </row>
    <row r="192" spans="1:6" x14ac:dyDescent="0.3">
      <c r="A192" t="s">
        <v>26</v>
      </c>
      <c r="B192">
        <v>2021</v>
      </c>
      <c r="C192" t="s">
        <v>78</v>
      </c>
      <c r="D192" s="8">
        <v>13200000</v>
      </c>
      <c r="E192" t="s">
        <v>46</v>
      </c>
      <c r="F192">
        <v>2</v>
      </c>
    </row>
    <row r="193" spans="1:6" x14ac:dyDescent="0.3">
      <c r="A193" t="s">
        <v>26</v>
      </c>
      <c r="B193">
        <v>2021</v>
      </c>
      <c r="C193" t="s">
        <v>180</v>
      </c>
      <c r="D193" s="8">
        <v>7480000</v>
      </c>
      <c r="E193" t="s">
        <v>281</v>
      </c>
      <c r="F193">
        <v>3</v>
      </c>
    </row>
    <row r="194" spans="1:6" x14ac:dyDescent="0.3">
      <c r="A194" t="s">
        <v>26</v>
      </c>
      <c r="B194">
        <v>2022</v>
      </c>
      <c r="C194" t="s">
        <v>227</v>
      </c>
      <c r="D194" s="8">
        <v>40200000</v>
      </c>
      <c r="E194" t="s">
        <v>164</v>
      </c>
      <c r="F194">
        <v>1</v>
      </c>
    </row>
    <row r="195" spans="1:6" x14ac:dyDescent="0.3">
      <c r="A195" t="s">
        <v>26</v>
      </c>
      <c r="B195">
        <v>2022</v>
      </c>
      <c r="C195" t="s">
        <v>196</v>
      </c>
      <c r="D195" s="8">
        <v>15200000</v>
      </c>
      <c r="E195" t="s">
        <v>281</v>
      </c>
      <c r="F195">
        <v>2</v>
      </c>
    </row>
    <row r="196" spans="1:6" x14ac:dyDescent="0.3">
      <c r="A196" t="s">
        <v>26</v>
      </c>
      <c r="B196">
        <v>2022</v>
      </c>
      <c r="C196" t="s">
        <v>228</v>
      </c>
      <c r="D196" s="8">
        <v>12300000</v>
      </c>
      <c r="E196" t="s">
        <v>153</v>
      </c>
      <c r="F196">
        <v>3</v>
      </c>
    </row>
    <row r="197" spans="1:6" x14ac:dyDescent="0.3">
      <c r="A197" t="s">
        <v>26</v>
      </c>
      <c r="B197">
        <v>2023</v>
      </c>
      <c r="C197" t="s">
        <v>229</v>
      </c>
      <c r="D197" s="8">
        <v>25700000</v>
      </c>
      <c r="E197" t="s">
        <v>286</v>
      </c>
      <c r="F197">
        <v>1</v>
      </c>
    </row>
    <row r="198" spans="1:6" x14ac:dyDescent="0.3">
      <c r="A198" t="s">
        <v>26</v>
      </c>
      <c r="B198">
        <v>2023</v>
      </c>
      <c r="C198" t="s">
        <v>192</v>
      </c>
      <c r="D198" s="8">
        <v>23500000</v>
      </c>
      <c r="E198" t="s">
        <v>164</v>
      </c>
      <c r="F198">
        <v>2</v>
      </c>
    </row>
    <row r="199" spans="1:6" x14ac:dyDescent="0.3">
      <c r="A199" t="s">
        <v>26</v>
      </c>
      <c r="B199">
        <v>2023</v>
      </c>
      <c r="C199" t="s">
        <v>230</v>
      </c>
      <c r="D199" s="8">
        <v>16300000</v>
      </c>
      <c r="E199" t="s">
        <v>279</v>
      </c>
      <c r="F199">
        <v>3</v>
      </c>
    </row>
    <row r="200" spans="1:6" x14ac:dyDescent="0.3">
      <c r="A200" t="s">
        <v>27</v>
      </c>
      <c r="B200">
        <v>2021</v>
      </c>
      <c r="C200" t="s">
        <v>199</v>
      </c>
      <c r="D200" s="8">
        <v>1720000000</v>
      </c>
      <c r="E200" t="s">
        <v>137</v>
      </c>
      <c r="F200">
        <v>1</v>
      </c>
    </row>
    <row r="201" spans="1:6" x14ac:dyDescent="0.3">
      <c r="A201" t="s">
        <v>27</v>
      </c>
      <c r="B201">
        <v>2021</v>
      </c>
      <c r="C201" t="s">
        <v>231</v>
      </c>
      <c r="D201" s="8">
        <v>518000000</v>
      </c>
      <c r="E201" t="s">
        <v>277</v>
      </c>
      <c r="F201">
        <v>2</v>
      </c>
    </row>
    <row r="202" spans="1:6" x14ac:dyDescent="0.3">
      <c r="A202" t="s">
        <v>27</v>
      </c>
      <c r="B202">
        <v>2021</v>
      </c>
      <c r="C202" t="s">
        <v>192</v>
      </c>
      <c r="D202" s="8">
        <v>503000000</v>
      </c>
      <c r="E202" t="s">
        <v>154</v>
      </c>
      <c r="F202">
        <v>3</v>
      </c>
    </row>
    <row r="203" spans="1:6" x14ac:dyDescent="0.3">
      <c r="A203" t="s">
        <v>27</v>
      </c>
      <c r="B203">
        <v>2022</v>
      </c>
      <c r="C203" t="s">
        <v>199</v>
      </c>
      <c r="D203" s="8">
        <v>1130000000</v>
      </c>
      <c r="E203" t="s">
        <v>137</v>
      </c>
      <c r="F203">
        <v>1</v>
      </c>
    </row>
    <row r="204" spans="1:6" x14ac:dyDescent="0.3">
      <c r="A204" t="s">
        <v>27</v>
      </c>
      <c r="B204">
        <v>2022</v>
      </c>
      <c r="C204" t="s">
        <v>192</v>
      </c>
      <c r="D204" s="8">
        <v>537000000</v>
      </c>
      <c r="E204" t="s">
        <v>164</v>
      </c>
      <c r="F204">
        <v>2</v>
      </c>
    </row>
    <row r="205" spans="1:6" x14ac:dyDescent="0.3">
      <c r="A205" t="s">
        <v>27</v>
      </c>
      <c r="B205">
        <v>2022</v>
      </c>
      <c r="C205" t="s">
        <v>202</v>
      </c>
      <c r="D205" s="8">
        <v>481000000</v>
      </c>
      <c r="E205" t="s">
        <v>137</v>
      </c>
      <c r="F205">
        <v>3</v>
      </c>
    </row>
    <row r="206" spans="1:6" x14ac:dyDescent="0.3">
      <c r="A206" t="s">
        <v>27</v>
      </c>
      <c r="B206">
        <v>2023</v>
      </c>
      <c r="C206" t="s">
        <v>199</v>
      </c>
      <c r="D206" s="8">
        <v>1100000000</v>
      </c>
      <c r="E206" t="s">
        <v>137</v>
      </c>
      <c r="F206">
        <v>1</v>
      </c>
    </row>
    <row r="207" spans="1:6" x14ac:dyDescent="0.3">
      <c r="A207" t="s">
        <v>27</v>
      </c>
      <c r="B207">
        <v>2023</v>
      </c>
      <c r="C207" t="s">
        <v>232</v>
      </c>
      <c r="D207" s="8">
        <v>440000000</v>
      </c>
      <c r="E207" t="s">
        <v>137</v>
      </c>
      <c r="F207">
        <v>2</v>
      </c>
    </row>
    <row r="208" spans="1:6" x14ac:dyDescent="0.3">
      <c r="A208" t="s">
        <v>27</v>
      </c>
      <c r="B208">
        <v>2023</v>
      </c>
      <c r="C208" t="s">
        <v>192</v>
      </c>
      <c r="D208" s="8">
        <v>356000000</v>
      </c>
      <c r="E208" t="s">
        <v>164</v>
      </c>
      <c r="F208">
        <v>3</v>
      </c>
    </row>
    <row r="209" spans="1:6" x14ac:dyDescent="0.3">
      <c r="A209" t="s">
        <v>28</v>
      </c>
      <c r="B209">
        <v>2021</v>
      </c>
      <c r="C209" t="s">
        <v>199</v>
      </c>
      <c r="D209" s="8">
        <v>67200000</v>
      </c>
      <c r="E209" t="s">
        <v>137</v>
      </c>
      <c r="F209">
        <v>1</v>
      </c>
    </row>
    <row r="210" spans="1:6" x14ac:dyDescent="0.3">
      <c r="A210" t="s">
        <v>28</v>
      </c>
      <c r="B210">
        <v>2021</v>
      </c>
      <c r="C210" t="s">
        <v>78</v>
      </c>
      <c r="D210" s="8">
        <v>57400000</v>
      </c>
      <c r="E210" t="s">
        <v>287</v>
      </c>
      <c r="F210">
        <v>2</v>
      </c>
    </row>
    <row r="211" spans="1:6" x14ac:dyDescent="0.3">
      <c r="A211" t="s">
        <v>28</v>
      </c>
      <c r="B211">
        <v>2021</v>
      </c>
      <c r="C211" t="s">
        <v>227</v>
      </c>
      <c r="D211" s="8">
        <v>53500000</v>
      </c>
      <c r="E211" t="s">
        <v>164</v>
      </c>
      <c r="F211">
        <v>3</v>
      </c>
    </row>
    <row r="212" spans="1:6" x14ac:dyDescent="0.3">
      <c r="A212" t="s">
        <v>28</v>
      </c>
      <c r="B212">
        <v>2022</v>
      </c>
      <c r="C212" t="s">
        <v>227</v>
      </c>
      <c r="D212" s="8">
        <v>101000000</v>
      </c>
      <c r="E212" t="s">
        <v>164</v>
      </c>
      <c r="F212">
        <v>1</v>
      </c>
    </row>
    <row r="213" spans="1:6" x14ac:dyDescent="0.3">
      <c r="A213" t="s">
        <v>28</v>
      </c>
      <c r="B213">
        <v>2022</v>
      </c>
      <c r="C213" t="s">
        <v>233</v>
      </c>
      <c r="D213" s="8">
        <v>76900000</v>
      </c>
      <c r="E213" t="s">
        <v>137</v>
      </c>
      <c r="F213">
        <v>2</v>
      </c>
    </row>
    <row r="214" spans="1:6" x14ac:dyDescent="0.3">
      <c r="A214" t="s">
        <v>28</v>
      </c>
      <c r="B214">
        <v>2022</v>
      </c>
      <c r="C214" t="s">
        <v>78</v>
      </c>
      <c r="D214" s="8">
        <v>50800000</v>
      </c>
      <c r="E214" t="s">
        <v>287</v>
      </c>
      <c r="F214">
        <v>3</v>
      </c>
    </row>
    <row r="215" spans="1:6" x14ac:dyDescent="0.3">
      <c r="A215" t="s">
        <v>28</v>
      </c>
      <c r="B215">
        <v>2023</v>
      </c>
      <c r="C215" t="s">
        <v>233</v>
      </c>
      <c r="D215" s="8">
        <v>216000000</v>
      </c>
      <c r="E215" t="s">
        <v>137</v>
      </c>
      <c r="F215">
        <v>1</v>
      </c>
    </row>
    <row r="216" spans="1:6" x14ac:dyDescent="0.3">
      <c r="A216" t="s">
        <v>28</v>
      </c>
      <c r="B216">
        <v>2023</v>
      </c>
      <c r="C216" t="s">
        <v>227</v>
      </c>
      <c r="D216" s="8">
        <v>73800000</v>
      </c>
      <c r="E216" t="s">
        <v>164</v>
      </c>
      <c r="F216">
        <v>2</v>
      </c>
    </row>
    <row r="217" spans="1:6" x14ac:dyDescent="0.3">
      <c r="A217" t="s">
        <v>28</v>
      </c>
      <c r="B217">
        <v>2023</v>
      </c>
      <c r="C217" t="s">
        <v>78</v>
      </c>
      <c r="D217" s="8">
        <v>13500000</v>
      </c>
      <c r="E217" t="s">
        <v>288</v>
      </c>
      <c r="F217">
        <v>3</v>
      </c>
    </row>
    <row r="218" spans="1:6" x14ac:dyDescent="0.3">
      <c r="A218" t="s">
        <v>29</v>
      </c>
      <c r="B218">
        <v>2021</v>
      </c>
      <c r="C218" t="s">
        <v>227</v>
      </c>
      <c r="D218" s="8">
        <v>145000000</v>
      </c>
      <c r="E218" t="s">
        <v>164</v>
      </c>
      <c r="F218">
        <v>1</v>
      </c>
    </row>
    <row r="219" spans="1:6" x14ac:dyDescent="0.3">
      <c r="A219" t="s">
        <v>29</v>
      </c>
      <c r="B219">
        <v>2021</v>
      </c>
      <c r="C219" t="s">
        <v>234</v>
      </c>
      <c r="D219" s="8">
        <v>31700000</v>
      </c>
      <c r="E219" t="s">
        <v>168</v>
      </c>
      <c r="F219">
        <v>2</v>
      </c>
    </row>
    <row r="220" spans="1:6" x14ac:dyDescent="0.3">
      <c r="A220" t="s">
        <v>29</v>
      </c>
      <c r="B220">
        <v>2021</v>
      </c>
      <c r="C220" t="s">
        <v>191</v>
      </c>
      <c r="D220" s="8">
        <v>1900000</v>
      </c>
      <c r="E220" t="s">
        <v>145</v>
      </c>
      <c r="F220">
        <v>3</v>
      </c>
    </row>
    <row r="221" spans="1:6" x14ac:dyDescent="0.3">
      <c r="A221" t="s">
        <v>29</v>
      </c>
      <c r="B221">
        <v>2022</v>
      </c>
      <c r="C221" t="s">
        <v>227</v>
      </c>
      <c r="D221" s="8">
        <v>206000000</v>
      </c>
      <c r="E221" t="s">
        <v>164</v>
      </c>
      <c r="F221">
        <v>1</v>
      </c>
    </row>
    <row r="222" spans="1:6" x14ac:dyDescent="0.3">
      <c r="A222" t="s">
        <v>29</v>
      </c>
      <c r="B222">
        <v>2022</v>
      </c>
      <c r="C222" t="s">
        <v>78</v>
      </c>
      <c r="D222" s="8">
        <v>16200000</v>
      </c>
      <c r="E222" t="s">
        <v>168</v>
      </c>
      <c r="F222">
        <v>2</v>
      </c>
    </row>
    <row r="223" spans="1:6" x14ac:dyDescent="0.3">
      <c r="A223" t="s">
        <v>29</v>
      </c>
      <c r="B223">
        <v>2022</v>
      </c>
      <c r="C223" t="s">
        <v>235</v>
      </c>
      <c r="D223" s="8">
        <v>654000</v>
      </c>
      <c r="E223" t="s">
        <v>153</v>
      </c>
      <c r="F223">
        <v>3</v>
      </c>
    </row>
    <row r="224" spans="1:6" x14ac:dyDescent="0.3">
      <c r="A224" t="s">
        <v>29</v>
      </c>
      <c r="B224">
        <v>2023</v>
      </c>
      <c r="C224" t="s">
        <v>227</v>
      </c>
      <c r="D224" s="8">
        <v>76800000</v>
      </c>
      <c r="E224" t="s">
        <v>164</v>
      </c>
      <c r="F224">
        <v>1</v>
      </c>
    </row>
    <row r="225" spans="1:6" x14ac:dyDescent="0.3">
      <c r="A225" t="s">
        <v>29</v>
      </c>
      <c r="B225">
        <v>2023</v>
      </c>
      <c r="C225" t="s">
        <v>228</v>
      </c>
      <c r="D225" s="8">
        <v>13500000</v>
      </c>
      <c r="E225" t="s">
        <v>153</v>
      </c>
      <c r="F225">
        <v>2</v>
      </c>
    </row>
    <row r="226" spans="1:6" x14ac:dyDescent="0.3">
      <c r="A226" t="s">
        <v>29</v>
      </c>
      <c r="B226">
        <v>2023</v>
      </c>
      <c r="C226" t="s">
        <v>78</v>
      </c>
      <c r="D226" s="8">
        <v>13300000</v>
      </c>
      <c r="E226" t="s">
        <v>168</v>
      </c>
      <c r="F226">
        <v>3</v>
      </c>
    </row>
    <row r="227" spans="1:6" x14ac:dyDescent="0.3">
      <c r="A227" t="s">
        <v>30</v>
      </c>
      <c r="B227">
        <v>2021</v>
      </c>
      <c r="C227" t="s">
        <v>194</v>
      </c>
      <c r="D227" s="8">
        <v>1400000000</v>
      </c>
      <c r="E227" t="s">
        <v>276</v>
      </c>
      <c r="F227">
        <v>1</v>
      </c>
    </row>
    <row r="228" spans="1:6" x14ac:dyDescent="0.3">
      <c r="A228" t="s">
        <v>30</v>
      </c>
      <c r="B228">
        <v>2021</v>
      </c>
      <c r="C228" t="s">
        <v>223</v>
      </c>
      <c r="D228" s="8">
        <v>735400000</v>
      </c>
      <c r="E228" t="s">
        <v>137</v>
      </c>
      <c r="F228">
        <v>2</v>
      </c>
    </row>
    <row r="229" spans="1:6" x14ac:dyDescent="0.3">
      <c r="A229" t="s">
        <v>30</v>
      </c>
      <c r="B229">
        <v>2021</v>
      </c>
      <c r="C229" t="s">
        <v>193</v>
      </c>
      <c r="D229" s="8">
        <v>315000000</v>
      </c>
      <c r="E229" t="s">
        <v>280</v>
      </c>
      <c r="F229">
        <v>3</v>
      </c>
    </row>
    <row r="230" spans="1:6" x14ac:dyDescent="0.3">
      <c r="A230" t="s">
        <v>30</v>
      </c>
      <c r="B230">
        <v>2022</v>
      </c>
      <c r="C230" t="s">
        <v>194</v>
      </c>
      <c r="D230" s="8">
        <v>1200000000</v>
      </c>
      <c r="E230" t="s">
        <v>276</v>
      </c>
      <c r="F230">
        <v>1</v>
      </c>
    </row>
    <row r="231" spans="1:6" x14ac:dyDescent="0.3">
      <c r="A231" t="s">
        <v>30</v>
      </c>
      <c r="B231">
        <v>2022</v>
      </c>
      <c r="C231" t="s">
        <v>223</v>
      </c>
      <c r="D231" s="8">
        <v>827300000</v>
      </c>
      <c r="E231" t="s">
        <v>137</v>
      </c>
      <c r="F231">
        <v>2</v>
      </c>
    </row>
    <row r="232" spans="1:6" x14ac:dyDescent="0.3">
      <c r="A232" t="s">
        <v>30</v>
      </c>
      <c r="B232">
        <v>2022</v>
      </c>
      <c r="C232" t="s">
        <v>193</v>
      </c>
      <c r="D232" s="8">
        <v>238300000</v>
      </c>
      <c r="E232" t="s">
        <v>278</v>
      </c>
      <c r="F232">
        <v>3</v>
      </c>
    </row>
    <row r="233" spans="1:6" x14ac:dyDescent="0.3">
      <c r="A233" t="s">
        <v>30</v>
      </c>
      <c r="B233">
        <v>2023</v>
      </c>
      <c r="C233" t="s">
        <v>194</v>
      </c>
      <c r="D233" s="8">
        <v>1300000000</v>
      </c>
      <c r="E233" t="s">
        <v>276</v>
      </c>
      <c r="F233">
        <v>1</v>
      </c>
    </row>
    <row r="234" spans="1:6" x14ac:dyDescent="0.3">
      <c r="A234" t="s">
        <v>30</v>
      </c>
      <c r="B234">
        <v>2023</v>
      </c>
      <c r="C234" t="s">
        <v>223</v>
      </c>
      <c r="D234" s="8">
        <v>781700000</v>
      </c>
      <c r="E234" t="s">
        <v>137</v>
      </c>
      <c r="F234">
        <v>2</v>
      </c>
    </row>
    <row r="235" spans="1:6" x14ac:dyDescent="0.3">
      <c r="A235" t="s">
        <v>30</v>
      </c>
      <c r="B235">
        <v>2023</v>
      </c>
      <c r="C235" t="s">
        <v>193</v>
      </c>
      <c r="D235" s="8">
        <v>246700000</v>
      </c>
      <c r="E235" t="s">
        <v>280</v>
      </c>
      <c r="F235">
        <v>3</v>
      </c>
    </row>
    <row r="236" spans="1:6" x14ac:dyDescent="0.3">
      <c r="A236" t="s">
        <v>31</v>
      </c>
      <c r="B236">
        <v>2021</v>
      </c>
      <c r="C236" t="s">
        <v>220</v>
      </c>
      <c r="D236" s="8">
        <v>13600000</v>
      </c>
      <c r="E236" t="s">
        <v>50</v>
      </c>
      <c r="F236">
        <v>1</v>
      </c>
    </row>
    <row r="237" spans="1:6" x14ac:dyDescent="0.3">
      <c r="A237" t="s">
        <v>31</v>
      </c>
      <c r="B237">
        <v>2021</v>
      </c>
      <c r="C237" t="s">
        <v>236</v>
      </c>
      <c r="D237" s="8">
        <v>6660000</v>
      </c>
      <c r="E237" t="s">
        <v>50</v>
      </c>
      <c r="F237">
        <v>2</v>
      </c>
    </row>
    <row r="238" spans="1:6" x14ac:dyDescent="0.3">
      <c r="A238" t="s">
        <v>31</v>
      </c>
      <c r="B238">
        <v>2021</v>
      </c>
      <c r="C238" t="s">
        <v>236</v>
      </c>
      <c r="D238" s="8">
        <v>3620000</v>
      </c>
      <c r="E238" t="s">
        <v>50</v>
      </c>
      <c r="F238">
        <v>3</v>
      </c>
    </row>
    <row r="239" spans="1:6" x14ac:dyDescent="0.3">
      <c r="A239" t="s">
        <v>31</v>
      </c>
      <c r="B239">
        <v>2022</v>
      </c>
      <c r="C239" t="s">
        <v>220</v>
      </c>
      <c r="D239" s="8">
        <v>16300000</v>
      </c>
      <c r="E239" t="s">
        <v>50</v>
      </c>
      <c r="F239">
        <v>1</v>
      </c>
    </row>
    <row r="240" spans="1:6" x14ac:dyDescent="0.3">
      <c r="A240" t="s">
        <v>31</v>
      </c>
      <c r="B240">
        <v>2022</v>
      </c>
      <c r="C240" t="s">
        <v>236</v>
      </c>
      <c r="D240" s="8">
        <v>4950000</v>
      </c>
      <c r="E240" t="s">
        <v>50</v>
      </c>
      <c r="F240">
        <v>2</v>
      </c>
    </row>
    <row r="241" spans="1:6" x14ac:dyDescent="0.3">
      <c r="A241" t="s">
        <v>31</v>
      </c>
      <c r="B241">
        <v>2022</v>
      </c>
      <c r="C241" t="s">
        <v>78</v>
      </c>
      <c r="D241" s="8">
        <v>4160000</v>
      </c>
      <c r="E241" t="s">
        <v>50</v>
      </c>
      <c r="F241">
        <v>3</v>
      </c>
    </row>
    <row r="242" spans="1:6" x14ac:dyDescent="0.3">
      <c r="A242" t="s">
        <v>31</v>
      </c>
      <c r="B242">
        <v>2023</v>
      </c>
      <c r="C242" t="s">
        <v>59</v>
      </c>
      <c r="D242" s="8">
        <v>14200000</v>
      </c>
      <c r="E242" t="s">
        <v>50</v>
      </c>
      <c r="F242">
        <v>1</v>
      </c>
    </row>
    <row r="243" spans="1:6" x14ac:dyDescent="0.3">
      <c r="A243" t="s">
        <v>31</v>
      </c>
      <c r="B243">
        <v>2023</v>
      </c>
      <c r="C243" t="s">
        <v>234</v>
      </c>
      <c r="D243" s="8">
        <v>5050000</v>
      </c>
      <c r="E243" t="s">
        <v>50</v>
      </c>
      <c r="F243">
        <v>2</v>
      </c>
    </row>
    <row r="244" spans="1:6" x14ac:dyDescent="0.3">
      <c r="A244" t="s">
        <v>31</v>
      </c>
      <c r="B244">
        <v>2023</v>
      </c>
      <c r="C244" t="s">
        <v>236</v>
      </c>
      <c r="D244" s="8">
        <v>4170000</v>
      </c>
      <c r="E244" t="s">
        <v>50</v>
      </c>
      <c r="F244">
        <v>3</v>
      </c>
    </row>
    <row r="245" spans="1:6" x14ac:dyDescent="0.3">
      <c r="A245" t="s">
        <v>32</v>
      </c>
      <c r="B245">
        <v>2021</v>
      </c>
      <c r="C245" t="s">
        <v>84</v>
      </c>
      <c r="D245" s="8">
        <v>78800000</v>
      </c>
      <c r="E245" t="s">
        <v>12</v>
      </c>
      <c r="F245">
        <v>1</v>
      </c>
    </row>
    <row r="246" spans="1:6" x14ac:dyDescent="0.3">
      <c r="A246" t="s">
        <v>32</v>
      </c>
      <c r="B246">
        <v>2021</v>
      </c>
      <c r="C246" t="s">
        <v>233</v>
      </c>
      <c r="D246" s="8">
        <v>41200000</v>
      </c>
      <c r="E246" t="s">
        <v>137</v>
      </c>
      <c r="F246">
        <v>2</v>
      </c>
    </row>
    <row r="247" spans="1:6" x14ac:dyDescent="0.3">
      <c r="A247" t="s">
        <v>32</v>
      </c>
      <c r="B247">
        <v>2021</v>
      </c>
      <c r="C247" t="s">
        <v>237</v>
      </c>
      <c r="D247" s="8">
        <v>4530000</v>
      </c>
      <c r="E247" t="s">
        <v>137</v>
      </c>
      <c r="F247">
        <v>3</v>
      </c>
    </row>
    <row r="248" spans="1:6" x14ac:dyDescent="0.3">
      <c r="A248" t="s">
        <v>32</v>
      </c>
      <c r="B248">
        <v>2022</v>
      </c>
      <c r="C248" t="s">
        <v>84</v>
      </c>
      <c r="D248" s="8">
        <v>113000000</v>
      </c>
      <c r="E248" t="s">
        <v>137</v>
      </c>
      <c r="F248">
        <v>1</v>
      </c>
    </row>
    <row r="249" spans="1:6" x14ac:dyDescent="0.3">
      <c r="A249" t="s">
        <v>32</v>
      </c>
      <c r="B249">
        <v>2022</v>
      </c>
      <c r="C249" t="s">
        <v>233</v>
      </c>
      <c r="D249" s="8">
        <v>49200000</v>
      </c>
      <c r="E249" t="s">
        <v>137</v>
      </c>
      <c r="F249">
        <v>2</v>
      </c>
    </row>
    <row r="250" spans="1:6" x14ac:dyDescent="0.3">
      <c r="A250" t="s">
        <v>32</v>
      </c>
      <c r="B250">
        <v>2022</v>
      </c>
      <c r="C250" t="s">
        <v>238</v>
      </c>
      <c r="D250" s="8">
        <v>9260000</v>
      </c>
      <c r="E250" t="s">
        <v>164</v>
      </c>
      <c r="F250">
        <v>3</v>
      </c>
    </row>
    <row r="251" spans="1:6" x14ac:dyDescent="0.3">
      <c r="A251" t="s">
        <v>32</v>
      </c>
      <c r="B251">
        <v>2023</v>
      </c>
      <c r="C251" t="s">
        <v>84</v>
      </c>
      <c r="D251" s="8">
        <v>71200000</v>
      </c>
      <c r="E251" t="s">
        <v>168</v>
      </c>
      <c r="F251">
        <v>1</v>
      </c>
    </row>
    <row r="252" spans="1:6" x14ac:dyDescent="0.3">
      <c r="A252" t="s">
        <v>32</v>
      </c>
      <c r="B252">
        <v>2023</v>
      </c>
      <c r="C252" t="s">
        <v>233</v>
      </c>
      <c r="D252" s="8">
        <v>55100000</v>
      </c>
      <c r="E252" t="s">
        <v>137</v>
      </c>
      <c r="F252">
        <v>2</v>
      </c>
    </row>
    <row r="253" spans="1:6" x14ac:dyDescent="0.3">
      <c r="A253" t="s">
        <v>32</v>
      </c>
      <c r="B253">
        <v>2023</v>
      </c>
      <c r="C253" t="s">
        <v>238</v>
      </c>
      <c r="D253" s="8">
        <v>7410000</v>
      </c>
      <c r="E253" t="s">
        <v>39</v>
      </c>
      <c r="F253">
        <v>3</v>
      </c>
    </row>
    <row r="254" spans="1:6" x14ac:dyDescent="0.3">
      <c r="A254" t="s">
        <v>33</v>
      </c>
      <c r="B254">
        <v>2021</v>
      </c>
      <c r="C254" t="s">
        <v>78</v>
      </c>
      <c r="D254" s="8">
        <v>20000000</v>
      </c>
      <c r="E254" t="s">
        <v>289</v>
      </c>
      <c r="F254">
        <v>1</v>
      </c>
    </row>
    <row r="255" spans="1:6" x14ac:dyDescent="0.3">
      <c r="A255" t="s">
        <v>33</v>
      </c>
      <c r="B255">
        <v>2021</v>
      </c>
      <c r="C255" t="s">
        <v>197</v>
      </c>
      <c r="D255" s="8">
        <v>4150000</v>
      </c>
      <c r="E255" t="s">
        <v>287</v>
      </c>
      <c r="F255">
        <v>2</v>
      </c>
    </row>
    <row r="256" spans="1:6" x14ac:dyDescent="0.3">
      <c r="A256" t="s">
        <v>33</v>
      </c>
      <c r="B256">
        <v>2021</v>
      </c>
      <c r="C256" t="s">
        <v>178</v>
      </c>
      <c r="D256" s="8">
        <v>3250000</v>
      </c>
      <c r="E256" t="s">
        <v>39</v>
      </c>
      <c r="F256">
        <v>3</v>
      </c>
    </row>
    <row r="257" spans="1:6" x14ac:dyDescent="0.3">
      <c r="A257" t="s">
        <v>33</v>
      </c>
      <c r="B257">
        <v>2022</v>
      </c>
      <c r="C257" t="s">
        <v>78</v>
      </c>
      <c r="D257" s="8">
        <v>35300000</v>
      </c>
      <c r="E257" t="s">
        <v>289</v>
      </c>
      <c r="F257">
        <v>1</v>
      </c>
    </row>
    <row r="258" spans="1:6" x14ac:dyDescent="0.3">
      <c r="A258" t="s">
        <v>33</v>
      </c>
      <c r="B258">
        <v>2022</v>
      </c>
      <c r="C258" t="s">
        <v>178</v>
      </c>
      <c r="D258" s="8">
        <v>5870000</v>
      </c>
      <c r="E258" t="s">
        <v>39</v>
      </c>
      <c r="F258">
        <v>2</v>
      </c>
    </row>
    <row r="259" spans="1:6" x14ac:dyDescent="0.3">
      <c r="A259" t="s">
        <v>33</v>
      </c>
      <c r="B259">
        <v>2022</v>
      </c>
      <c r="C259" t="s">
        <v>179</v>
      </c>
      <c r="D259" s="8">
        <v>3430000</v>
      </c>
      <c r="E259" t="s">
        <v>39</v>
      </c>
      <c r="F259">
        <v>3</v>
      </c>
    </row>
    <row r="260" spans="1:6" x14ac:dyDescent="0.3">
      <c r="A260" t="s">
        <v>33</v>
      </c>
      <c r="B260">
        <v>2023</v>
      </c>
      <c r="C260" t="s">
        <v>78</v>
      </c>
      <c r="D260" s="8">
        <v>34500000</v>
      </c>
      <c r="E260" t="s">
        <v>289</v>
      </c>
      <c r="F260">
        <v>1</v>
      </c>
    </row>
    <row r="261" spans="1:6" x14ac:dyDescent="0.3">
      <c r="A261" t="s">
        <v>33</v>
      </c>
      <c r="B261">
        <v>2023</v>
      </c>
      <c r="C261" t="s">
        <v>178</v>
      </c>
      <c r="D261" s="8">
        <v>11300000</v>
      </c>
      <c r="E261" t="s">
        <v>39</v>
      </c>
      <c r="F261">
        <v>2</v>
      </c>
    </row>
    <row r="262" spans="1:6" x14ac:dyDescent="0.3">
      <c r="A262" t="s">
        <v>33</v>
      </c>
      <c r="B262">
        <v>2023</v>
      </c>
      <c r="C262" t="s">
        <v>239</v>
      </c>
      <c r="D262" s="8">
        <v>2910000</v>
      </c>
      <c r="E262" t="s">
        <v>54</v>
      </c>
      <c r="F262">
        <v>3</v>
      </c>
    </row>
    <row r="263" spans="1:6" x14ac:dyDescent="0.3">
      <c r="A263" t="s">
        <v>34</v>
      </c>
      <c r="B263">
        <v>2021</v>
      </c>
      <c r="C263" t="s">
        <v>212</v>
      </c>
      <c r="D263" s="8">
        <v>533400000</v>
      </c>
      <c r="E263" t="s">
        <v>280</v>
      </c>
      <c r="F263">
        <v>1</v>
      </c>
    </row>
    <row r="264" spans="1:6" x14ac:dyDescent="0.3">
      <c r="A264" t="s">
        <v>34</v>
      </c>
      <c r="B264">
        <v>2021</v>
      </c>
      <c r="C264" t="s">
        <v>210</v>
      </c>
      <c r="D264" s="8">
        <v>273000000</v>
      </c>
      <c r="E264" t="s">
        <v>155</v>
      </c>
      <c r="F264">
        <v>2</v>
      </c>
    </row>
    <row r="265" spans="1:6" x14ac:dyDescent="0.3">
      <c r="A265" t="s">
        <v>34</v>
      </c>
      <c r="B265">
        <v>2021</v>
      </c>
      <c r="C265" t="s">
        <v>211</v>
      </c>
      <c r="D265" s="8">
        <v>75500000</v>
      </c>
      <c r="E265" t="s">
        <v>155</v>
      </c>
      <c r="F265">
        <v>3</v>
      </c>
    </row>
    <row r="266" spans="1:6" x14ac:dyDescent="0.3">
      <c r="A266" t="s">
        <v>34</v>
      </c>
      <c r="B266">
        <v>2022</v>
      </c>
      <c r="C266" t="s">
        <v>212</v>
      </c>
      <c r="D266" s="8">
        <v>617300000</v>
      </c>
      <c r="E266" t="s">
        <v>280</v>
      </c>
      <c r="F266">
        <v>1</v>
      </c>
    </row>
    <row r="267" spans="1:6" x14ac:dyDescent="0.3">
      <c r="A267" t="s">
        <v>34</v>
      </c>
      <c r="B267">
        <v>2022</v>
      </c>
      <c r="C267" t="s">
        <v>210</v>
      </c>
      <c r="D267" s="8">
        <v>114900000</v>
      </c>
      <c r="E267" t="s">
        <v>164</v>
      </c>
      <c r="F267">
        <v>2</v>
      </c>
    </row>
    <row r="268" spans="1:6" x14ac:dyDescent="0.3">
      <c r="A268" t="s">
        <v>34</v>
      </c>
      <c r="B268">
        <v>2022</v>
      </c>
      <c r="C268" t="s">
        <v>211</v>
      </c>
      <c r="D268" s="8">
        <v>76600000</v>
      </c>
      <c r="E268" t="s">
        <v>155</v>
      </c>
      <c r="F268">
        <v>3</v>
      </c>
    </row>
    <row r="269" spans="1:6" x14ac:dyDescent="0.3">
      <c r="A269" t="s">
        <v>34</v>
      </c>
      <c r="B269">
        <v>2023</v>
      </c>
      <c r="C269" t="s">
        <v>212</v>
      </c>
      <c r="D269" s="8">
        <v>271700000</v>
      </c>
      <c r="E269" t="s">
        <v>280</v>
      </c>
      <c r="F269">
        <v>1</v>
      </c>
    </row>
    <row r="270" spans="1:6" x14ac:dyDescent="0.3">
      <c r="A270" t="s">
        <v>34</v>
      </c>
      <c r="B270">
        <v>2023</v>
      </c>
      <c r="C270" t="s">
        <v>210</v>
      </c>
      <c r="D270" s="8">
        <v>247800000</v>
      </c>
      <c r="E270" t="s">
        <v>155</v>
      </c>
      <c r="F270">
        <v>2</v>
      </c>
    </row>
    <row r="271" spans="1:6" x14ac:dyDescent="0.3">
      <c r="A271" t="s">
        <v>34</v>
      </c>
      <c r="B271">
        <v>2023</v>
      </c>
      <c r="C271" t="s">
        <v>211</v>
      </c>
      <c r="D271" s="8">
        <v>40800000</v>
      </c>
      <c r="E271" t="s">
        <v>164</v>
      </c>
      <c r="F271">
        <v>3</v>
      </c>
    </row>
    <row r="272" spans="1:6" x14ac:dyDescent="0.3">
      <c r="A272" t="s">
        <v>35</v>
      </c>
      <c r="B272">
        <v>2021</v>
      </c>
      <c r="C272" t="s">
        <v>240</v>
      </c>
      <c r="D272" s="8">
        <v>407600000</v>
      </c>
      <c r="E272" t="s">
        <v>278</v>
      </c>
      <c r="F272">
        <v>1</v>
      </c>
    </row>
    <row r="273" spans="1:6" x14ac:dyDescent="0.3">
      <c r="A273" t="s">
        <v>35</v>
      </c>
      <c r="B273">
        <v>2021</v>
      </c>
      <c r="C273" t="s">
        <v>241</v>
      </c>
      <c r="D273" s="8">
        <v>80500000</v>
      </c>
      <c r="E273" t="s">
        <v>30</v>
      </c>
      <c r="F273">
        <v>2</v>
      </c>
    </row>
    <row r="274" spans="1:6" x14ac:dyDescent="0.3">
      <c r="A274" t="s">
        <v>35</v>
      </c>
      <c r="B274">
        <v>2021</v>
      </c>
      <c r="C274" t="s">
        <v>194</v>
      </c>
      <c r="D274" s="8">
        <v>76300000</v>
      </c>
      <c r="E274" t="s">
        <v>290</v>
      </c>
      <c r="F274">
        <v>3</v>
      </c>
    </row>
    <row r="275" spans="1:6" x14ac:dyDescent="0.3">
      <c r="A275" t="s">
        <v>35</v>
      </c>
      <c r="B275">
        <v>2022</v>
      </c>
      <c r="C275" t="s">
        <v>240</v>
      </c>
      <c r="D275" s="8">
        <v>447400000</v>
      </c>
      <c r="E275" t="s">
        <v>278</v>
      </c>
      <c r="F275">
        <v>1</v>
      </c>
    </row>
    <row r="276" spans="1:6" x14ac:dyDescent="0.3">
      <c r="A276" t="s">
        <v>35</v>
      </c>
      <c r="B276">
        <v>2022</v>
      </c>
      <c r="C276" t="s">
        <v>186</v>
      </c>
      <c r="D276" s="8">
        <v>108100000</v>
      </c>
      <c r="E276" t="s">
        <v>164</v>
      </c>
      <c r="F276">
        <v>2</v>
      </c>
    </row>
    <row r="277" spans="1:6" x14ac:dyDescent="0.3">
      <c r="A277" t="s">
        <v>35</v>
      </c>
      <c r="B277">
        <v>2022</v>
      </c>
      <c r="C277" t="s">
        <v>75</v>
      </c>
      <c r="D277" s="8">
        <v>74100000</v>
      </c>
      <c r="E277" t="s">
        <v>44</v>
      </c>
      <c r="F277">
        <v>3</v>
      </c>
    </row>
    <row r="278" spans="1:6" x14ac:dyDescent="0.3">
      <c r="A278" t="s">
        <v>35</v>
      </c>
      <c r="B278">
        <v>2023</v>
      </c>
      <c r="C278" t="s">
        <v>240</v>
      </c>
      <c r="D278" s="8">
        <v>447200000</v>
      </c>
      <c r="E278" t="s">
        <v>278</v>
      </c>
      <c r="F278">
        <v>1</v>
      </c>
    </row>
    <row r="279" spans="1:6" x14ac:dyDescent="0.3">
      <c r="A279" t="s">
        <v>35</v>
      </c>
      <c r="B279">
        <v>2023</v>
      </c>
      <c r="C279" t="s">
        <v>194</v>
      </c>
      <c r="D279" s="8">
        <v>70600000</v>
      </c>
      <c r="E279" t="s">
        <v>290</v>
      </c>
      <c r="F279">
        <v>2</v>
      </c>
    </row>
    <row r="280" spans="1:6" x14ac:dyDescent="0.3">
      <c r="A280" t="s">
        <v>35</v>
      </c>
      <c r="B280">
        <v>2023</v>
      </c>
      <c r="C280" t="s">
        <v>241</v>
      </c>
      <c r="D280" s="8">
        <v>53800000</v>
      </c>
      <c r="E280" t="s">
        <v>56</v>
      </c>
      <c r="F280">
        <v>3</v>
      </c>
    </row>
    <row r="281" spans="1:6" x14ac:dyDescent="0.3">
      <c r="A281" t="s">
        <v>36</v>
      </c>
      <c r="B281">
        <v>2021</v>
      </c>
      <c r="C281" t="s">
        <v>190</v>
      </c>
      <c r="D281" s="8">
        <v>101000000</v>
      </c>
      <c r="E281" t="s">
        <v>129</v>
      </c>
      <c r="F281">
        <v>1</v>
      </c>
    </row>
    <row r="282" spans="1:6" x14ac:dyDescent="0.3">
      <c r="A282" t="s">
        <v>36</v>
      </c>
      <c r="B282">
        <v>2021</v>
      </c>
      <c r="C282" t="s">
        <v>191</v>
      </c>
      <c r="D282" s="8">
        <v>63200000</v>
      </c>
      <c r="E282" t="s">
        <v>129</v>
      </c>
      <c r="F282">
        <v>2</v>
      </c>
    </row>
    <row r="283" spans="1:6" x14ac:dyDescent="0.3">
      <c r="A283" t="s">
        <v>36</v>
      </c>
      <c r="B283">
        <v>2021</v>
      </c>
      <c r="C283" t="s">
        <v>178</v>
      </c>
      <c r="D283" s="8">
        <v>10500000</v>
      </c>
      <c r="E283" t="s">
        <v>137</v>
      </c>
      <c r="F283">
        <v>3</v>
      </c>
    </row>
    <row r="284" spans="1:6" x14ac:dyDescent="0.3">
      <c r="A284" t="s">
        <v>36</v>
      </c>
      <c r="B284">
        <v>2022</v>
      </c>
      <c r="C284" t="s">
        <v>190</v>
      </c>
      <c r="D284" s="8">
        <v>112000000</v>
      </c>
      <c r="E284" t="s">
        <v>145</v>
      </c>
      <c r="F284">
        <v>1</v>
      </c>
    </row>
    <row r="285" spans="1:6" x14ac:dyDescent="0.3">
      <c r="A285" t="s">
        <v>36</v>
      </c>
      <c r="B285">
        <v>2022</v>
      </c>
      <c r="C285" t="s">
        <v>191</v>
      </c>
      <c r="D285" s="8">
        <v>30200000</v>
      </c>
      <c r="E285" t="s">
        <v>129</v>
      </c>
      <c r="F285">
        <v>2</v>
      </c>
    </row>
    <row r="286" spans="1:6" x14ac:dyDescent="0.3">
      <c r="A286" t="s">
        <v>36</v>
      </c>
      <c r="B286">
        <v>2022</v>
      </c>
      <c r="C286" t="s">
        <v>178</v>
      </c>
      <c r="D286" s="8">
        <v>13400000</v>
      </c>
      <c r="E286" t="s">
        <v>143</v>
      </c>
      <c r="F286">
        <v>3</v>
      </c>
    </row>
    <row r="287" spans="1:6" x14ac:dyDescent="0.3">
      <c r="A287" t="s">
        <v>36</v>
      </c>
      <c r="B287">
        <v>2023</v>
      </c>
      <c r="C287" t="s">
        <v>190</v>
      </c>
      <c r="D287" s="8">
        <v>54300000</v>
      </c>
      <c r="E287" t="s">
        <v>129</v>
      </c>
      <c r="F287">
        <v>1</v>
      </c>
    </row>
    <row r="288" spans="1:6" x14ac:dyDescent="0.3">
      <c r="A288" t="s">
        <v>36</v>
      </c>
      <c r="B288">
        <v>2023</v>
      </c>
      <c r="C288" t="s">
        <v>191</v>
      </c>
      <c r="D288" s="8">
        <v>39100000</v>
      </c>
      <c r="E288" t="s">
        <v>129</v>
      </c>
      <c r="F288">
        <v>2</v>
      </c>
    </row>
    <row r="289" spans="1:6" x14ac:dyDescent="0.3">
      <c r="A289" t="s">
        <v>36</v>
      </c>
      <c r="B289">
        <v>2023</v>
      </c>
      <c r="C289" t="s">
        <v>178</v>
      </c>
      <c r="D289" s="8">
        <v>13100000</v>
      </c>
      <c r="E289" t="s">
        <v>137</v>
      </c>
      <c r="F289">
        <v>3</v>
      </c>
    </row>
    <row r="290" spans="1:6" x14ac:dyDescent="0.3">
      <c r="A290" t="s">
        <v>37</v>
      </c>
      <c r="B290">
        <v>2021</v>
      </c>
      <c r="C290" t="s">
        <v>190</v>
      </c>
      <c r="D290" s="8">
        <v>8500000</v>
      </c>
      <c r="E290" t="s">
        <v>272</v>
      </c>
      <c r="F290">
        <v>1</v>
      </c>
    </row>
    <row r="291" spans="1:6" x14ac:dyDescent="0.3">
      <c r="A291" t="s">
        <v>37</v>
      </c>
      <c r="B291">
        <v>2021</v>
      </c>
      <c r="C291" t="s">
        <v>242</v>
      </c>
      <c r="D291" s="8">
        <v>2200000</v>
      </c>
      <c r="E291" t="s">
        <v>170</v>
      </c>
      <c r="F291">
        <v>2</v>
      </c>
    </row>
    <row r="292" spans="1:6" x14ac:dyDescent="0.3">
      <c r="A292" t="s">
        <v>37</v>
      </c>
      <c r="B292">
        <v>2021</v>
      </c>
      <c r="C292" t="s">
        <v>243</v>
      </c>
      <c r="D292" s="8">
        <v>176000</v>
      </c>
      <c r="E292" t="s">
        <v>24</v>
      </c>
      <c r="F292">
        <v>3</v>
      </c>
    </row>
    <row r="293" spans="1:6" x14ac:dyDescent="0.3">
      <c r="A293" t="s">
        <v>37</v>
      </c>
      <c r="B293">
        <v>2022</v>
      </c>
      <c r="C293" t="s">
        <v>244</v>
      </c>
      <c r="D293" s="8">
        <v>472000</v>
      </c>
      <c r="E293" t="s">
        <v>46</v>
      </c>
      <c r="F293">
        <v>1</v>
      </c>
    </row>
    <row r="294" spans="1:6" x14ac:dyDescent="0.3">
      <c r="A294" t="s">
        <v>37</v>
      </c>
      <c r="B294">
        <v>2022</v>
      </c>
      <c r="C294" t="s">
        <v>242</v>
      </c>
      <c r="D294" s="8">
        <v>242000</v>
      </c>
      <c r="E294" t="s">
        <v>170</v>
      </c>
      <c r="F294">
        <v>2</v>
      </c>
    </row>
    <row r="295" spans="1:6" x14ac:dyDescent="0.3">
      <c r="A295" t="s">
        <v>37</v>
      </c>
      <c r="B295">
        <v>2022</v>
      </c>
      <c r="C295" t="s">
        <v>245</v>
      </c>
      <c r="D295" s="8">
        <v>173000</v>
      </c>
      <c r="E295" t="s">
        <v>290</v>
      </c>
      <c r="F295">
        <v>3</v>
      </c>
    </row>
    <row r="296" spans="1:6" x14ac:dyDescent="0.3">
      <c r="A296" t="s">
        <v>37</v>
      </c>
      <c r="B296">
        <v>2023</v>
      </c>
      <c r="C296" t="s">
        <v>242</v>
      </c>
      <c r="D296" s="8">
        <v>15400000</v>
      </c>
      <c r="E296" t="s">
        <v>270</v>
      </c>
      <c r="F296">
        <v>1</v>
      </c>
    </row>
    <row r="297" spans="1:6" x14ac:dyDescent="0.3">
      <c r="A297" t="s">
        <v>37</v>
      </c>
      <c r="B297">
        <v>2023</v>
      </c>
      <c r="C297" t="s">
        <v>190</v>
      </c>
      <c r="D297" s="8">
        <v>7900000</v>
      </c>
      <c r="E297" t="s">
        <v>272</v>
      </c>
      <c r="F297">
        <v>2</v>
      </c>
    </row>
    <row r="298" spans="1:6" x14ac:dyDescent="0.3">
      <c r="A298" t="s">
        <v>37</v>
      </c>
      <c r="B298">
        <v>2023</v>
      </c>
      <c r="C298" t="s">
        <v>246</v>
      </c>
      <c r="D298" s="8">
        <v>703000</v>
      </c>
      <c r="E298" t="s">
        <v>170</v>
      </c>
      <c r="F298">
        <v>3</v>
      </c>
    </row>
    <row r="299" spans="1:6" x14ac:dyDescent="0.3">
      <c r="A299" t="s">
        <v>38</v>
      </c>
      <c r="B299">
        <v>2021</v>
      </c>
      <c r="C299" t="s">
        <v>195</v>
      </c>
      <c r="D299" s="8">
        <v>258000000</v>
      </c>
      <c r="E299" t="s">
        <v>160</v>
      </c>
      <c r="F299">
        <v>1</v>
      </c>
    </row>
    <row r="300" spans="1:6" x14ac:dyDescent="0.3">
      <c r="A300" t="s">
        <v>38</v>
      </c>
      <c r="B300">
        <v>2021</v>
      </c>
      <c r="C300" t="s">
        <v>75</v>
      </c>
      <c r="D300" s="8">
        <v>258000000</v>
      </c>
      <c r="E300" t="s">
        <v>160</v>
      </c>
      <c r="F300">
        <v>2</v>
      </c>
    </row>
    <row r="301" spans="1:6" x14ac:dyDescent="0.3">
      <c r="A301" t="s">
        <v>38</v>
      </c>
      <c r="B301">
        <v>2021</v>
      </c>
      <c r="C301" t="s">
        <v>247</v>
      </c>
      <c r="D301" s="8">
        <v>64300000</v>
      </c>
      <c r="E301" t="s">
        <v>280</v>
      </c>
      <c r="F301">
        <v>3</v>
      </c>
    </row>
    <row r="302" spans="1:6" x14ac:dyDescent="0.3">
      <c r="A302" t="s">
        <v>38</v>
      </c>
      <c r="B302">
        <v>2022</v>
      </c>
      <c r="C302" t="s">
        <v>195</v>
      </c>
      <c r="D302" s="8">
        <v>290000000</v>
      </c>
      <c r="E302" t="s">
        <v>160</v>
      </c>
      <c r="F302">
        <v>1</v>
      </c>
    </row>
    <row r="303" spans="1:6" x14ac:dyDescent="0.3">
      <c r="A303" t="s">
        <v>38</v>
      </c>
      <c r="B303">
        <v>2022</v>
      </c>
      <c r="C303" t="s">
        <v>75</v>
      </c>
      <c r="D303" s="8">
        <v>217000000</v>
      </c>
      <c r="E303" t="s">
        <v>281</v>
      </c>
      <c r="F303">
        <v>2</v>
      </c>
    </row>
    <row r="304" spans="1:6" x14ac:dyDescent="0.3">
      <c r="A304" t="s">
        <v>38</v>
      </c>
      <c r="B304">
        <v>2022</v>
      </c>
      <c r="C304" t="s">
        <v>84</v>
      </c>
      <c r="D304" s="8">
        <v>82500000</v>
      </c>
      <c r="E304" t="s">
        <v>40</v>
      </c>
      <c r="F304">
        <v>3</v>
      </c>
    </row>
    <row r="305" spans="1:6" x14ac:dyDescent="0.3">
      <c r="A305" t="s">
        <v>38</v>
      </c>
      <c r="B305">
        <v>2023</v>
      </c>
      <c r="C305" t="s">
        <v>195</v>
      </c>
      <c r="D305" s="8">
        <v>302000000</v>
      </c>
      <c r="E305" t="s">
        <v>160</v>
      </c>
      <c r="F305">
        <v>1</v>
      </c>
    </row>
    <row r="306" spans="1:6" x14ac:dyDescent="0.3">
      <c r="A306" t="s">
        <v>38</v>
      </c>
      <c r="B306">
        <v>2023</v>
      </c>
      <c r="C306" t="s">
        <v>75</v>
      </c>
      <c r="D306" s="8">
        <v>272000000</v>
      </c>
      <c r="E306" t="s">
        <v>281</v>
      </c>
      <c r="F306">
        <v>2</v>
      </c>
    </row>
    <row r="307" spans="1:6" x14ac:dyDescent="0.3">
      <c r="A307" t="s">
        <v>38</v>
      </c>
      <c r="B307">
        <v>2023</v>
      </c>
      <c r="C307" t="s">
        <v>247</v>
      </c>
      <c r="D307" s="8">
        <v>103000000</v>
      </c>
      <c r="E307" t="s">
        <v>280</v>
      </c>
      <c r="F307">
        <v>3</v>
      </c>
    </row>
    <row r="308" spans="1:6" x14ac:dyDescent="0.3">
      <c r="A308" t="s">
        <v>39</v>
      </c>
      <c r="B308">
        <v>2021</v>
      </c>
      <c r="C308" t="s">
        <v>248</v>
      </c>
      <c r="D308" s="8">
        <v>1000000000</v>
      </c>
      <c r="E308" t="s">
        <v>270</v>
      </c>
      <c r="F308">
        <v>1</v>
      </c>
    </row>
    <row r="309" spans="1:6" x14ac:dyDescent="0.3">
      <c r="A309" t="s">
        <v>39</v>
      </c>
      <c r="B309">
        <v>2021</v>
      </c>
      <c r="C309" t="s">
        <v>249</v>
      </c>
      <c r="D309" s="8">
        <v>450900000</v>
      </c>
      <c r="E309" t="s">
        <v>280</v>
      </c>
      <c r="F309">
        <v>2</v>
      </c>
    </row>
    <row r="310" spans="1:6" x14ac:dyDescent="0.3">
      <c r="A310" t="s">
        <v>39</v>
      </c>
      <c r="B310">
        <v>2021</v>
      </c>
      <c r="C310" t="s">
        <v>217</v>
      </c>
      <c r="D310" s="8">
        <v>431600000</v>
      </c>
      <c r="E310" t="s">
        <v>291</v>
      </c>
      <c r="F310">
        <v>3</v>
      </c>
    </row>
    <row r="311" spans="1:6" x14ac:dyDescent="0.3">
      <c r="A311" t="s">
        <v>39</v>
      </c>
      <c r="B311">
        <v>2022</v>
      </c>
      <c r="C311" t="s">
        <v>248</v>
      </c>
      <c r="D311" s="8">
        <v>855900000</v>
      </c>
      <c r="E311" t="s">
        <v>270</v>
      </c>
      <c r="F311">
        <v>1</v>
      </c>
    </row>
    <row r="312" spans="1:6" x14ac:dyDescent="0.3">
      <c r="A312" t="s">
        <v>39</v>
      </c>
      <c r="B312">
        <v>2022</v>
      </c>
      <c r="C312" t="s">
        <v>249</v>
      </c>
      <c r="D312" s="8">
        <v>454400000</v>
      </c>
      <c r="E312" t="s">
        <v>283</v>
      </c>
      <c r="F312">
        <v>2</v>
      </c>
    </row>
    <row r="313" spans="1:6" x14ac:dyDescent="0.3">
      <c r="A313" t="s">
        <v>39</v>
      </c>
      <c r="B313">
        <v>2022</v>
      </c>
      <c r="C313" t="s">
        <v>217</v>
      </c>
      <c r="D313" s="8">
        <v>320700000</v>
      </c>
      <c r="E313" t="s">
        <v>27</v>
      </c>
      <c r="F313">
        <v>3</v>
      </c>
    </row>
    <row r="314" spans="1:6" x14ac:dyDescent="0.3">
      <c r="A314" t="s">
        <v>39</v>
      </c>
      <c r="B314">
        <v>2023</v>
      </c>
      <c r="C314" t="s">
        <v>248</v>
      </c>
      <c r="D314" s="8">
        <v>1100000000</v>
      </c>
      <c r="E314" t="s">
        <v>270</v>
      </c>
      <c r="F314">
        <v>1</v>
      </c>
    </row>
    <row r="315" spans="1:6" x14ac:dyDescent="0.3">
      <c r="A315" t="s">
        <v>39</v>
      </c>
      <c r="B315">
        <v>2023</v>
      </c>
      <c r="C315" t="s">
        <v>249</v>
      </c>
      <c r="D315" s="8">
        <v>419000000</v>
      </c>
      <c r="E315" t="s">
        <v>122</v>
      </c>
      <c r="F315">
        <v>2</v>
      </c>
    </row>
    <row r="316" spans="1:6" x14ac:dyDescent="0.3">
      <c r="A316" t="s">
        <v>39</v>
      </c>
      <c r="B316">
        <v>2023</v>
      </c>
      <c r="C316" t="s">
        <v>217</v>
      </c>
      <c r="D316" s="8">
        <v>403800000</v>
      </c>
      <c r="E316" t="s">
        <v>291</v>
      </c>
      <c r="F316">
        <v>3</v>
      </c>
    </row>
    <row r="317" spans="1:6" x14ac:dyDescent="0.3">
      <c r="A317" t="s">
        <v>40</v>
      </c>
      <c r="B317">
        <v>2021</v>
      </c>
      <c r="C317" t="s">
        <v>250</v>
      </c>
      <c r="D317" s="8">
        <v>188600000</v>
      </c>
      <c r="E317" t="s">
        <v>164</v>
      </c>
      <c r="F317">
        <v>1</v>
      </c>
    </row>
    <row r="318" spans="1:6" x14ac:dyDescent="0.3">
      <c r="A318" t="s">
        <v>40</v>
      </c>
      <c r="B318">
        <v>2021</v>
      </c>
      <c r="C318" t="s">
        <v>240</v>
      </c>
      <c r="D318" s="8">
        <v>150500000</v>
      </c>
      <c r="E318" t="s">
        <v>278</v>
      </c>
      <c r="F318">
        <v>2</v>
      </c>
    </row>
    <row r="319" spans="1:6" x14ac:dyDescent="0.3">
      <c r="A319" t="s">
        <v>40</v>
      </c>
      <c r="B319">
        <v>2021</v>
      </c>
      <c r="C319" t="s">
        <v>205</v>
      </c>
      <c r="D319" s="8">
        <v>94800000</v>
      </c>
      <c r="E319" t="s">
        <v>279</v>
      </c>
      <c r="F319">
        <v>3</v>
      </c>
    </row>
    <row r="320" spans="1:6" x14ac:dyDescent="0.3">
      <c r="A320" t="s">
        <v>40</v>
      </c>
      <c r="B320">
        <v>2022</v>
      </c>
      <c r="C320" t="s">
        <v>240</v>
      </c>
      <c r="D320" s="8">
        <v>144800000</v>
      </c>
      <c r="E320" t="s">
        <v>278</v>
      </c>
      <c r="F320">
        <v>1</v>
      </c>
    </row>
    <row r="321" spans="1:6" x14ac:dyDescent="0.3">
      <c r="A321" t="s">
        <v>40</v>
      </c>
      <c r="B321">
        <v>2022</v>
      </c>
      <c r="C321" t="s">
        <v>250</v>
      </c>
      <c r="D321" s="8">
        <v>92900000</v>
      </c>
      <c r="E321" t="s">
        <v>164</v>
      </c>
      <c r="F321">
        <v>2</v>
      </c>
    </row>
    <row r="322" spans="1:6" x14ac:dyDescent="0.3">
      <c r="A322" t="s">
        <v>40</v>
      </c>
      <c r="B322">
        <v>2022</v>
      </c>
      <c r="C322" t="s">
        <v>205</v>
      </c>
      <c r="D322" s="8">
        <v>84000000</v>
      </c>
      <c r="E322" t="s">
        <v>279</v>
      </c>
      <c r="F322">
        <v>3</v>
      </c>
    </row>
    <row r="323" spans="1:6" x14ac:dyDescent="0.3">
      <c r="A323" t="s">
        <v>40</v>
      </c>
      <c r="B323">
        <v>2023</v>
      </c>
      <c r="C323" t="s">
        <v>240</v>
      </c>
      <c r="D323" s="8">
        <v>154100000</v>
      </c>
      <c r="E323" t="s">
        <v>278</v>
      </c>
      <c r="F323">
        <v>1</v>
      </c>
    </row>
    <row r="324" spans="1:6" x14ac:dyDescent="0.3">
      <c r="A324" t="s">
        <v>40</v>
      </c>
      <c r="B324">
        <v>2023</v>
      </c>
      <c r="C324" t="s">
        <v>205</v>
      </c>
      <c r="D324" s="8">
        <v>149700000</v>
      </c>
      <c r="E324" t="s">
        <v>279</v>
      </c>
      <c r="F324">
        <v>2</v>
      </c>
    </row>
    <row r="325" spans="1:6" x14ac:dyDescent="0.3">
      <c r="A325" t="s">
        <v>40</v>
      </c>
      <c r="B325">
        <v>2023</v>
      </c>
      <c r="C325" t="s">
        <v>250</v>
      </c>
      <c r="D325" s="8">
        <v>135600000</v>
      </c>
      <c r="E325" t="s">
        <v>164</v>
      </c>
      <c r="F325">
        <v>3</v>
      </c>
    </row>
    <row r="326" spans="1:6" x14ac:dyDescent="0.3">
      <c r="A326" t="s">
        <v>41</v>
      </c>
      <c r="B326">
        <v>2021</v>
      </c>
      <c r="C326" t="s">
        <v>187</v>
      </c>
      <c r="D326" s="8">
        <v>43900000</v>
      </c>
      <c r="E326" t="s">
        <v>50</v>
      </c>
      <c r="F326">
        <v>1</v>
      </c>
    </row>
    <row r="327" spans="1:6" x14ac:dyDescent="0.3">
      <c r="A327" t="s">
        <v>41</v>
      </c>
      <c r="B327">
        <v>2021</v>
      </c>
      <c r="C327" t="s">
        <v>64</v>
      </c>
      <c r="D327" s="8">
        <v>40100000</v>
      </c>
      <c r="E327" t="s">
        <v>18</v>
      </c>
      <c r="F327">
        <v>2</v>
      </c>
    </row>
    <row r="328" spans="1:6" x14ac:dyDescent="0.3">
      <c r="A328" t="s">
        <v>41</v>
      </c>
      <c r="B328">
        <v>2021</v>
      </c>
      <c r="C328" t="s">
        <v>188</v>
      </c>
      <c r="D328" s="8">
        <v>39500000</v>
      </c>
      <c r="E328" t="s">
        <v>137</v>
      </c>
      <c r="F328">
        <v>3</v>
      </c>
    </row>
    <row r="329" spans="1:6" x14ac:dyDescent="0.3">
      <c r="A329" t="s">
        <v>41</v>
      </c>
      <c r="B329">
        <v>2022</v>
      </c>
      <c r="C329" t="s">
        <v>187</v>
      </c>
      <c r="D329" s="8">
        <v>47300000</v>
      </c>
      <c r="E329" t="s">
        <v>50</v>
      </c>
      <c r="F329">
        <v>1</v>
      </c>
    </row>
    <row r="330" spans="1:6" x14ac:dyDescent="0.3">
      <c r="A330" t="s">
        <v>41</v>
      </c>
      <c r="B330">
        <v>2022</v>
      </c>
      <c r="C330" t="s">
        <v>251</v>
      </c>
      <c r="D330" s="8">
        <v>31000000</v>
      </c>
      <c r="E330" t="s">
        <v>290</v>
      </c>
      <c r="F330">
        <v>2</v>
      </c>
    </row>
    <row r="331" spans="1:6" x14ac:dyDescent="0.3">
      <c r="A331" t="s">
        <v>41</v>
      </c>
      <c r="B331">
        <v>2022</v>
      </c>
      <c r="C331" t="s">
        <v>64</v>
      </c>
      <c r="D331" s="8">
        <v>28700000</v>
      </c>
      <c r="E331" t="s">
        <v>18</v>
      </c>
      <c r="F331">
        <v>3</v>
      </c>
    </row>
    <row r="332" spans="1:6" x14ac:dyDescent="0.3">
      <c r="A332" t="s">
        <v>41</v>
      </c>
      <c r="B332">
        <v>2023</v>
      </c>
      <c r="C332" t="s">
        <v>188</v>
      </c>
      <c r="D332" s="8">
        <v>52700000</v>
      </c>
      <c r="E332" t="s">
        <v>137</v>
      </c>
      <c r="F332">
        <v>1</v>
      </c>
    </row>
    <row r="333" spans="1:6" x14ac:dyDescent="0.3">
      <c r="A333" t="s">
        <v>41</v>
      </c>
      <c r="B333">
        <v>2023</v>
      </c>
      <c r="C333" t="s">
        <v>251</v>
      </c>
      <c r="D333" s="8">
        <v>40800000</v>
      </c>
      <c r="E333" t="s">
        <v>290</v>
      </c>
      <c r="F333">
        <v>2</v>
      </c>
    </row>
    <row r="334" spans="1:6" x14ac:dyDescent="0.3">
      <c r="A334" t="s">
        <v>41</v>
      </c>
      <c r="B334">
        <v>2023</v>
      </c>
      <c r="C334" t="s">
        <v>187</v>
      </c>
      <c r="D334" s="8">
        <v>38700000</v>
      </c>
      <c r="E334" t="s">
        <v>50</v>
      </c>
      <c r="F334">
        <v>3</v>
      </c>
    </row>
    <row r="335" spans="1:6" x14ac:dyDescent="0.3">
      <c r="A335" t="s">
        <v>42</v>
      </c>
      <c r="B335">
        <v>2021</v>
      </c>
      <c r="C335" t="s">
        <v>252</v>
      </c>
      <c r="D335" s="8">
        <v>12700000</v>
      </c>
      <c r="E335" t="s">
        <v>27</v>
      </c>
      <c r="F335">
        <v>1</v>
      </c>
    </row>
    <row r="336" spans="1:6" x14ac:dyDescent="0.3">
      <c r="A336" t="s">
        <v>42</v>
      </c>
      <c r="B336">
        <v>2021</v>
      </c>
      <c r="C336" t="s">
        <v>84</v>
      </c>
      <c r="D336" s="8">
        <v>9600000</v>
      </c>
      <c r="E336" t="s">
        <v>14</v>
      </c>
      <c r="F336">
        <v>2</v>
      </c>
    </row>
    <row r="337" spans="1:6" x14ac:dyDescent="0.3">
      <c r="A337" t="s">
        <v>42</v>
      </c>
      <c r="B337">
        <v>2021</v>
      </c>
      <c r="C337" t="s">
        <v>253</v>
      </c>
      <c r="D337" s="8">
        <v>5400000</v>
      </c>
      <c r="E337" t="s">
        <v>43</v>
      </c>
      <c r="F337">
        <v>3</v>
      </c>
    </row>
    <row r="338" spans="1:6" x14ac:dyDescent="0.3">
      <c r="A338" t="s">
        <v>42</v>
      </c>
      <c r="B338">
        <v>2022</v>
      </c>
      <c r="C338" t="s">
        <v>252</v>
      </c>
      <c r="D338" s="8">
        <v>23500000</v>
      </c>
      <c r="E338" t="s">
        <v>27</v>
      </c>
      <c r="F338">
        <v>1</v>
      </c>
    </row>
    <row r="339" spans="1:6" x14ac:dyDescent="0.3">
      <c r="A339" t="s">
        <v>42</v>
      </c>
      <c r="B339">
        <v>2022</v>
      </c>
      <c r="C339" t="s">
        <v>84</v>
      </c>
      <c r="D339" s="8">
        <v>9600000</v>
      </c>
      <c r="E339" t="s">
        <v>43</v>
      </c>
      <c r="F339">
        <v>2</v>
      </c>
    </row>
    <row r="340" spans="1:6" x14ac:dyDescent="0.3">
      <c r="A340" t="s">
        <v>42</v>
      </c>
      <c r="B340">
        <v>2022</v>
      </c>
      <c r="C340" t="s">
        <v>187</v>
      </c>
      <c r="D340" s="8">
        <v>8300000.0000000009</v>
      </c>
      <c r="E340" t="s">
        <v>43</v>
      </c>
      <c r="F340">
        <v>3</v>
      </c>
    </row>
    <row r="341" spans="1:6" x14ac:dyDescent="0.3">
      <c r="A341" t="s">
        <v>42</v>
      </c>
      <c r="B341">
        <v>2023</v>
      </c>
      <c r="C341" t="s">
        <v>252</v>
      </c>
      <c r="D341" s="8">
        <v>11500000</v>
      </c>
      <c r="E341" t="s">
        <v>27</v>
      </c>
      <c r="F341">
        <v>1</v>
      </c>
    </row>
    <row r="342" spans="1:6" x14ac:dyDescent="0.3">
      <c r="A342" t="s">
        <v>42</v>
      </c>
      <c r="B342">
        <v>2023</v>
      </c>
      <c r="C342" t="s">
        <v>254</v>
      </c>
      <c r="D342" s="8">
        <v>3900000</v>
      </c>
      <c r="E342" t="s">
        <v>27</v>
      </c>
      <c r="F342">
        <v>2</v>
      </c>
    </row>
    <row r="343" spans="1:6" x14ac:dyDescent="0.3">
      <c r="A343" t="s">
        <v>42</v>
      </c>
      <c r="B343">
        <v>2023</v>
      </c>
      <c r="C343" t="s">
        <v>187</v>
      </c>
      <c r="D343" s="8">
        <v>3400000</v>
      </c>
      <c r="E343" t="s">
        <v>43</v>
      </c>
      <c r="F343">
        <v>3</v>
      </c>
    </row>
    <row r="344" spans="1:6" x14ac:dyDescent="0.3">
      <c r="A344" t="s">
        <v>43</v>
      </c>
      <c r="B344">
        <v>2021</v>
      </c>
      <c r="C344" t="s">
        <v>199</v>
      </c>
      <c r="D344" s="8">
        <v>787000000</v>
      </c>
      <c r="E344" t="s">
        <v>137</v>
      </c>
      <c r="F344">
        <v>1</v>
      </c>
    </row>
    <row r="345" spans="1:6" x14ac:dyDescent="0.3">
      <c r="A345" t="s">
        <v>43</v>
      </c>
      <c r="B345">
        <v>2021</v>
      </c>
      <c r="C345" t="s">
        <v>192</v>
      </c>
      <c r="D345" s="8">
        <v>409000000</v>
      </c>
      <c r="E345" t="s">
        <v>282</v>
      </c>
      <c r="F345">
        <v>2</v>
      </c>
    </row>
    <row r="346" spans="1:6" x14ac:dyDescent="0.3">
      <c r="A346" t="s">
        <v>43</v>
      </c>
      <c r="B346">
        <v>2021</v>
      </c>
      <c r="C346" t="s">
        <v>191</v>
      </c>
      <c r="D346" s="8">
        <v>234000000</v>
      </c>
      <c r="E346" t="s">
        <v>275</v>
      </c>
      <c r="F346">
        <v>3</v>
      </c>
    </row>
    <row r="347" spans="1:6" x14ac:dyDescent="0.3">
      <c r="A347" t="s">
        <v>43</v>
      </c>
      <c r="B347">
        <v>2022</v>
      </c>
      <c r="C347" t="s">
        <v>199</v>
      </c>
      <c r="D347" s="8">
        <v>488000000</v>
      </c>
      <c r="E347" t="s">
        <v>137</v>
      </c>
      <c r="F347">
        <v>1</v>
      </c>
    </row>
    <row r="348" spans="1:6" x14ac:dyDescent="0.3">
      <c r="A348" t="s">
        <v>43</v>
      </c>
      <c r="B348">
        <v>2022</v>
      </c>
      <c r="C348" t="s">
        <v>192</v>
      </c>
      <c r="D348" s="8">
        <v>333000000</v>
      </c>
      <c r="E348" t="s">
        <v>282</v>
      </c>
      <c r="F348">
        <v>2</v>
      </c>
    </row>
    <row r="349" spans="1:6" x14ac:dyDescent="0.3">
      <c r="A349" t="s">
        <v>43</v>
      </c>
      <c r="B349">
        <v>2022</v>
      </c>
      <c r="C349" t="s">
        <v>191</v>
      </c>
      <c r="D349" s="8">
        <v>289000000</v>
      </c>
      <c r="E349" t="s">
        <v>275</v>
      </c>
      <c r="F349">
        <v>3</v>
      </c>
    </row>
    <row r="350" spans="1:6" x14ac:dyDescent="0.3">
      <c r="A350" t="s">
        <v>43</v>
      </c>
      <c r="B350">
        <v>2023</v>
      </c>
      <c r="C350" t="s">
        <v>199</v>
      </c>
      <c r="D350" s="8">
        <v>763000000</v>
      </c>
      <c r="E350" t="s">
        <v>137</v>
      </c>
      <c r="F350">
        <v>1</v>
      </c>
    </row>
    <row r="351" spans="1:6" x14ac:dyDescent="0.3">
      <c r="A351" t="s">
        <v>43</v>
      </c>
      <c r="B351">
        <v>2023</v>
      </c>
      <c r="C351" t="s">
        <v>192</v>
      </c>
      <c r="D351" s="8">
        <v>363000000</v>
      </c>
      <c r="E351" t="s">
        <v>282</v>
      </c>
      <c r="F351">
        <v>2</v>
      </c>
    </row>
    <row r="352" spans="1:6" x14ac:dyDescent="0.3">
      <c r="A352" t="s">
        <v>43</v>
      </c>
      <c r="B352">
        <v>2023</v>
      </c>
      <c r="C352" t="s">
        <v>191</v>
      </c>
      <c r="D352" s="8">
        <v>271000000</v>
      </c>
      <c r="E352" t="s">
        <v>275</v>
      </c>
      <c r="F352">
        <v>3</v>
      </c>
    </row>
    <row r="353" spans="1:6" x14ac:dyDescent="0.3">
      <c r="A353" t="s">
        <v>44</v>
      </c>
      <c r="B353">
        <v>2021</v>
      </c>
      <c r="C353" t="s">
        <v>194</v>
      </c>
      <c r="D353" s="8">
        <v>101300000</v>
      </c>
      <c r="E353" t="s">
        <v>276</v>
      </c>
      <c r="F353">
        <v>1</v>
      </c>
    </row>
    <row r="354" spans="1:6" x14ac:dyDescent="0.3">
      <c r="A354" t="s">
        <v>44</v>
      </c>
      <c r="B354">
        <v>2021</v>
      </c>
      <c r="C354" t="s">
        <v>193</v>
      </c>
      <c r="D354" s="8">
        <v>92600000</v>
      </c>
      <c r="E354" t="s">
        <v>290</v>
      </c>
      <c r="F354">
        <v>2</v>
      </c>
    </row>
    <row r="355" spans="1:6" x14ac:dyDescent="0.3">
      <c r="A355" t="s">
        <v>44</v>
      </c>
      <c r="B355">
        <v>2021</v>
      </c>
      <c r="C355" t="s">
        <v>255</v>
      </c>
      <c r="D355" s="8">
        <v>62900000</v>
      </c>
      <c r="E355" t="s">
        <v>18</v>
      </c>
      <c r="F355">
        <v>3</v>
      </c>
    </row>
    <row r="356" spans="1:6" x14ac:dyDescent="0.3">
      <c r="A356" t="s">
        <v>44</v>
      </c>
      <c r="B356">
        <v>2022</v>
      </c>
      <c r="C356" t="s">
        <v>194</v>
      </c>
      <c r="D356" s="8">
        <v>104200000</v>
      </c>
      <c r="E356" t="s">
        <v>276</v>
      </c>
      <c r="F356">
        <v>1</v>
      </c>
    </row>
    <row r="357" spans="1:6" x14ac:dyDescent="0.3">
      <c r="A357" t="s">
        <v>44</v>
      </c>
      <c r="B357">
        <v>2022</v>
      </c>
      <c r="C357" t="s">
        <v>193</v>
      </c>
      <c r="D357" s="8">
        <v>80600000</v>
      </c>
      <c r="E357" t="s">
        <v>273</v>
      </c>
      <c r="F357">
        <v>2</v>
      </c>
    </row>
    <row r="358" spans="1:6" x14ac:dyDescent="0.3">
      <c r="A358" t="s">
        <v>44</v>
      </c>
      <c r="B358">
        <v>2022</v>
      </c>
      <c r="C358" t="s">
        <v>84</v>
      </c>
      <c r="D358" s="8">
        <v>49000000</v>
      </c>
      <c r="E358" t="s">
        <v>18</v>
      </c>
      <c r="F358">
        <v>3</v>
      </c>
    </row>
    <row r="359" spans="1:6" x14ac:dyDescent="0.3">
      <c r="A359" t="s">
        <v>44</v>
      </c>
      <c r="B359">
        <v>2023</v>
      </c>
      <c r="C359" t="s">
        <v>193</v>
      </c>
      <c r="D359" s="8">
        <v>89300000</v>
      </c>
      <c r="E359" t="s">
        <v>160</v>
      </c>
      <c r="F359">
        <v>1</v>
      </c>
    </row>
    <row r="360" spans="1:6" x14ac:dyDescent="0.3">
      <c r="A360" t="s">
        <v>44</v>
      </c>
      <c r="B360">
        <v>2023</v>
      </c>
      <c r="C360" t="s">
        <v>194</v>
      </c>
      <c r="D360" s="8">
        <v>89300000</v>
      </c>
      <c r="E360" t="s">
        <v>276</v>
      </c>
      <c r="F360">
        <v>2</v>
      </c>
    </row>
    <row r="361" spans="1:6" x14ac:dyDescent="0.3">
      <c r="A361" t="s">
        <v>44</v>
      </c>
      <c r="B361">
        <v>2023</v>
      </c>
      <c r="C361" t="s">
        <v>99</v>
      </c>
      <c r="D361" s="8">
        <v>28600000</v>
      </c>
      <c r="E361" t="s">
        <v>30</v>
      </c>
      <c r="F361">
        <v>3</v>
      </c>
    </row>
    <row r="362" spans="1:6" x14ac:dyDescent="0.3">
      <c r="A362" t="s">
        <v>45</v>
      </c>
      <c r="B362">
        <v>2021</v>
      </c>
      <c r="C362" t="s">
        <v>84</v>
      </c>
      <c r="D362" s="8">
        <v>8199999.9999999991</v>
      </c>
      <c r="E362" t="s">
        <v>137</v>
      </c>
      <c r="F362">
        <v>1</v>
      </c>
    </row>
    <row r="363" spans="1:6" x14ac:dyDescent="0.3">
      <c r="A363" t="s">
        <v>45</v>
      </c>
      <c r="B363">
        <v>2021</v>
      </c>
      <c r="C363" t="s">
        <v>199</v>
      </c>
      <c r="D363" s="8">
        <v>8100000</v>
      </c>
      <c r="E363" t="s">
        <v>137</v>
      </c>
      <c r="F363">
        <v>2</v>
      </c>
    </row>
    <row r="364" spans="1:6" x14ac:dyDescent="0.3">
      <c r="A364" t="s">
        <v>45</v>
      </c>
      <c r="B364">
        <v>2021</v>
      </c>
      <c r="C364" t="s">
        <v>238</v>
      </c>
      <c r="D364" s="8">
        <v>324000</v>
      </c>
      <c r="E364" t="s">
        <v>278</v>
      </c>
      <c r="F364">
        <v>3</v>
      </c>
    </row>
    <row r="365" spans="1:6" x14ac:dyDescent="0.3">
      <c r="A365" t="s">
        <v>45</v>
      </c>
      <c r="B365">
        <v>2022</v>
      </c>
      <c r="C365" t="s">
        <v>199</v>
      </c>
      <c r="D365" s="8">
        <v>11400000</v>
      </c>
      <c r="E365" t="s">
        <v>137</v>
      </c>
      <c r="F365">
        <v>1</v>
      </c>
    </row>
    <row r="366" spans="1:6" x14ac:dyDescent="0.3">
      <c r="A366" t="s">
        <v>45</v>
      </c>
      <c r="B366">
        <v>2022</v>
      </c>
      <c r="C366" t="s">
        <v>84</v>
      </c>
      <c r="D366" s="8">
        <v>5800000</v>
      </c>
      <c r="E366" t="s">
        <v>137</v>
      </c>
      <c r="F366">
        <v>2</v>
      </c>
    </row>
    <row r="367" spans="1:6" x14ac:dyDescent="0.3">
      <c r="A367" t="s">
        <v>45</v>
      </c>
      <c r="B367">
        <v>2022</v>
      </c>
      <c r="C367" t="s">
        <v>238</v>
      </c>
      <c r="D367" s="8">
        <v>533000</v>
      </c>
      <c r="E367" t="s">
        <v>278</v>
      </c>
      <c r="F367">
        <v>3</v>
      </c>
    </row>
    <row r="368" spans="1:6" x14ac:dyDescent="0.3">
      <c r="A368" t="s">
        <v>45</v>
      </c>
      <c r="B368">
        <v>2023</v>
      </c>
      <c r="C368" t="s">
        <v>199</v>
      </c>
      <c r="D368" s="8">
        <v>10100000</v>
      </c>
      <c r="E368" t="s">
        <v>137</v>
      </c>
      <c r="F368">
        <v>1</v>
      </c>
    </row>
    <row r="369" spans="1:6" x14ac:dyDescent="0.3">
      <c r="A369" t="s">
        <v>45</v>
      </c>
      <c r="B369">
        <v>2023</v>
      </c>
      <c r="C369" t="s">
        <v>84</v>
      </c>
      <c r="D369" s="8">
        <v>5500000</v>
      </c>
      <c r="E369" t="s">
        <v>137</v>
      </c>
      <c r="F369">
        <v>2</v>
      </c>
    </row>
    <row r="370" spans="1:6" x14ac:dyDescent="0.3">
      <c r="A370" t="s">
        <v>45</v>
      </c>
      <c r="B370">
        <v>2023</v>
      </c>
      <c r="C370" t="s">
        <v>256</v>
      </c>
      <c r="D370" s="8">
        <v>255000</v>
      </c>
      <c r="E370" t="s">
        <v>270</v>
      </c>
      <c r="F370">
        <v>3</v>
      </c>
    </row>
    <row r="371" spans="1:6" x14ac:dyDescent="0.3">
      <c r="A371" t="s">
        <v>46</v>
      </c>
      <c r="B371">
        <v>2021</v>
      </c>
      <c r="C371" t="s">
        <v>241</v>
      </c>
      <c r="D371" s="8">
        <v>338000000</v>
      </c>
      <c r="E371" t="s">
        <v>129</v>
      </c>
      <c r="F371">
        <v>1</v>
      </c>
    </row>
    <row r="372" spans="1:6" x14ac:dyDescent="0.3">
      <c r="A372" t="s">
        <v>46</v>
      </c>
      <c r="B372">
        <v>2021</v>
      </c>
      <c r="C372" t="s">
        <v>78</v>
      </c>
      <c r="D372" s="8">
        <v>312000000</v>
      </c>
      <c r="E372" t="s">
        <v>168</v>
      </c>
      <c r="F372">
        <v>2</v>
      </c>
    </row>
    <row r="373" spans="1:6" x14ac:dyDescent="0.3">
      <c r="A373" t="s">
        <v>46</v>
      </c>
      <c r="B373">
        <v>2021</v>
      </c>
      <c r="C373" t="s">
        <v>101</v>
      </c>
      <c r="D373" s="8">
        <v>150000000</v>
      </c>
      <c r="E373" t="s">
        <v>36</v>
      </c>
      <c r="F373">
        <v>3</v>
      </c>
    </row>
    <row r="374" spans="1:6" x14ac:dyDescent="0.3">
      <c r="A374" t="s">
        <v>46</v>
      </c>
      <c r="B374">
        <v>2022</v>
      </c>
      <c r="C374" t="s">
        <v>78</v>
      </c>
      <c r="D374" s="8">
        <v>287000000</v>
      </c>
      <c r="E374" t="s">
        <v>168</v>
      </c>
      <c r="F374">
        <v>1</v>
      </c>
    </row>
    <row r="375" spans="1:6" x14ac:dyDescent="0.3">
      <c r="A375" t="s">
        <v>46</v>
      </c>
      <c r="B375">
        <v>2022</v>
      </c>
      <c r="C375" t="s">
        <v>101</v>
      </c>
      <c r="D375" s="8">
        <v>162000000</v>
      </c>
      <c r="E375" t="s">
        <v>36</v>
      </c>
      <c r="F375">
        <v>2</v>
      </c>
    </row>
    <row r="376" spans="1:6" x14ac:dyDescent="0.3">
      <c r="A376" t="s">
        <v>46</v>
      </c>
      <c r="B376">
        <v>2022</v>
      </c>
      <c r="C376" t="s">
        <v>241</v>
      </c>
      <c r="D376" s="8">
        <v>159000000</v>
      </c>
      <c r="E376" t="s">
        <v>129</v>
      </c>
      <c r="F376">
        <v>3</v>
      </c>
    </row>
    <row r="377" spans="1:6" x14ac:dyDescent="0.3">
      <c r="A377" t="s">
        <v>46</v>
      </c>
      <c r="B377">
        <v>2023</v>
      </c>
      <c r="C377" t="s">
        <v>78</v>
      </c>
      <c r="D377" s="8">
        <v>284000000</v>
      </c>
      <c r="E377" t="s">
        <v>168</v>
      </c>
      <c r="F377">
        <v>1</v>
      </c>
    </row>
    <row r="378" spans="1:6" x14ac:dyDescent="0.3">
      <c r="A378" t="s">
        <v>46</v>
      </c>
      <c r="B378">
        <v>2023</v>
      </c>
      <c r="C378" t="s">
        <v>241</v>
      </c>
      <c r="D378" s="8">
        <v>165000000</v>
      </c>
      <c r="E378" t="s">
        <v>129</v>
      </c>
      <c r="F378">
        <v>2</v>
      </c>
    </row>
    <row r="379" spans="1:6" x14ac:dyDescent="0.3">
      <c r="A379" t="s">
        <v>46</v>
      </c>
      <c r="B379">
        <v>2023</v>
      </c>
      <c r="C379" t="s">
        <v>227</v>
      </c>
      <c r="D379" s="8">
        <v>151000000</v>
      </c>
      <c r="E379" t="s">
        <v>164</v>
      </c>
      <c r="F379">
        <v>3</v>
      </c>
    </row>
    <row r="380" spans="1:6" x14ac:dyDescent="0.3">
      <c r="A380" t="s">
        <v>47</v>
      </c>
      <c r="B380">
        <v>2021</v>
      </c>
      <c r="C380" t="s">
        <v>78</v>
      </c>
      <c r="D380" s="8">
        <v>297000000</v>
      </c>
      <c r="E380" t="s">
        <v>275</v>
      </c>
      <c r="F380">
        <v>1</v>
      </c>
    </row>
    <row r="381" spans="1:6" x14ac:dyDescent="0.3">
      <c r="A381" t="s">
        <v>47</v>
      </c>
      <c r="B381">
        <v>2021</v>
      </c>
      <c r="C381" t="s">
        <v>195</v>
      </c>
      <c r="D381" s="8">
        <v>272000000</v>
      </c>
      <c r="E381" t="s">
        <v>270</v>
      </c>
      <c r="F381">
        <v>2</v>
      </c>
    </row>
    <row r="382" spans="1:6" x14ac:dyDescent="0.3">
      <c r="A382" t="s">
        <v>47</v>
      </c>
      <c r="B382">
        <v>2021</v>
      </c>
      <c r="C382" t="s">
        <v>230</v>
      </c>
      <c r="D382" s="8">
        <v>8740000</v>
      </c>
      <c r="E382" t="s">
        <v>292</v>
      </c>
      <c r="F382">
        <v>3</v>
      </c>
    </row>
    <row r="383" spans="1:6" x14ac:dyDescent="0.3">
      <c r="A383" t="s">
        <v>47</v>
      </c>
      <c r="B383">
        <v>2022</v>
      </c>
      <c r="C383" t="s">
        <v>78</v>
      </c>
      <c r="D383" s="8">
        <v>325000000</v>
      </c>
      <c r="E383" t="s">
        <v>275</v>
      </c>
      <c r="F383">
        <v>1</v>
      </c>
    </row>
    <row r="384" spans="1:6" x14ac:dyDescent="0.3">
      <c r="A384" t="s">
        <v>47</v>
      </c>
      <c r="B384">
        <v>2022</v>
      </c>
      <c r="C384" t="s">
        <v>195</v>
      </c>
      <c r="D384" s="8">
        <v>251000000</v>
      </c>
      <c r="E384" t="s">
        <v>270</v>
      </c>
      <c r="F384">
        <v>2</v>
      </c>
    </row>
    <row r="385" spans="1:6" x14ac:dyDescent="0.3">
      <c r="A385" t="s">
        <v>47</v>
      </c>
      <c r="B385">
        <v>2022</v>
      </c>
      <c r="C385" t="s">
        <v>230</v>
      </c>
      <c r="D385" s="8">
        <v>10400000</v>
      </c>
      <c r="E385" t="s">
        <v>292</v>
      </c>
      <c r="F385">
        <v>3</v>
      </c>
    </row>
    <row r="386" spans="1:6" x14ac:dyDescent="0.3">
      <c r="A386" t="s">
        <v>47</v>
      </c>
      <c r="B386">
        <v>2023</v>
      </c>
      <c r="C386" t="s">
        <v>78</v>
      </c>
      <c r="D386" s="8">
        <v>308000000</v>
      </c>
      <c r="E386" t="s">
        <v>38</v>
      </c>
      <c r="F386">
        <v>1</v>
      </c>
    </row>
    <row r="387" spans="1:6" x14ac:dyDescent="0.3">
      <c r="A387" t="s">
        <v>47</v>
      </c>
      <c r="B387">
        <v>2023</v>
      </c>
      <c r="C387" t="s">
        <v>195</v>
      </c>
      <c r="D387" s="8">
        <v>280000000</v>
      </c>
      <c r="E387" t="s">
        <v>270</v>
      </c>
      <c r="F387">
        <v>2</v>
      </c>
    </row>
    <row r="388" spans="1:6" x14ac:dyDescent="0.3">
      <c r="A388" t="s">
        <v>47</v>
      </c>
      <c r="B388">
        <v>2023</v>
      </c>
      <c r="C388" t="s">
        <v>230</v>
      </c>
      <c r="D388" s="8">
        <v>17900000</v>
      </c>
      <c r="E388" t="s">
        <v>292</v>
      </c>
      <c r="F388">
        <v>3</v>
      </c>
    </row>
    <row r="389" spans="1:6" x14ac:dyDescent="0.3">
      <c r="A389" t="s">
        <v>48</v>
      </c>
      <c r="B389">
        <v>2021</v>
      </c>
      <c r="C389" t="s">
        <v>199</v>
      </c>
      <c r="D389" s="8">
        <v>43400000</v>
      </c>
      <c r="E389" t="s">
        <v>137</v>
      </c>
      <c r="F389">
        <v>1</v>
      </c>
    </row>
    <row r="390" spans="1:6" x14ac:dyDescent="0.3">
      <c r="A390" t="s">
        <v>48</v>
      </c>
      <c r="B390">
        <v>2021</v>
      </c>
      <c r="C390" t="s">
        <v>84</v>
      </c>
      <c r="D390" s="8">
        <v>26300000</v>
      </c>
      <c r="E390" t="s">
        <v>46</v>
      </c>
      <c r="F390">
        <v>2</v>
      </c>
    </row>
    <row r="391" spans="1:6" x14ac:dyDescent="0.3">
      <c r="A391" t="s">
        <v>48</v>
      </c>
      <c r="B391">
        <v>2021</v>
      </c>
      <c r="C391" t="s">
        <v>78</v>
      </c>
      <c r="D391" s="8">
        <v>10700000</v>
      </c>
      <c r="E391" t="s">
        <v>287</v>
      </c>
      <c r="F391">
        <v>3</v>
      </c>
    </row>
    <row r="392" spans="1:6" x14ac:dyDescent="0.3">
      <c r="A392" t="s">
        <v>48</v>
      </c>
      <c r="B392">
        <v>2022</v>
      </c>
      <c r="C392" t="s">
        <v>199</v>
      </c>
      <c r="D392" s="8">
        <v>41000000</v>
      </c>
      <c r="E392" t="s">
        <v>137</v>
      </c>
      <c r="F392">
        <v>1</v>
      </c>
    </row>
    <row r="393" spans="1:6" x14ac:dyDescent="0.3">
      <c r="A393" t="s">
        <v>48</v>
      </c>
      <c r="B393">
        <v>2022</v>
      </c>
      <c r="C393" t="s">
        <v>84</v>
      </c>
      <c r="D393" s="8">
        <v>27800000</v>
      </c>
      <c r="E393" t="s">
        <v>46</v>
      </c>
      <c r="F393">
        <v>2</v>
      </c>
    </row>
    <row r="394" spans="1:6" x14ac:dyDescent="0.3">
      <c r="A394" t="s">
        <v>48</v>
      </c>
      <c r="B394">
        <v>2022</v>
      </c>
      <c r="C394" t="s">
        <v>78</v>
      </c>
      <c r="D394" s="8">
        <v>10200000</v>
      </c>
      <c r="E394" t="s">
        <v>287</v>
      </c>
      <c r="F394">
        <v>3</v>
      </c>
    </row>
    <row r="395" spans="1:6" x14ac:dyDescent="0.3">
      <c r="A395" t="s">
        <v>48</v>
      </c>
      <c r="B395">
        <v>2023</v>
      </c>
      <c r="C395" t="s">
        <v>199</v>
      </c>
      <c r="D395" s="8">
        <v>50100000</v>
      </c>
      <c r="E395" t="s">
        <v>137</v>
      </c>
      <c r="F395">
        <v>1</v>
      </c>
    </row>
    <row r="396" spans="1:6" x14ac:dyDescent="0.3">
      <c r="A396" t="s">
        <v>48</v>
      </c>
      <c r="B396">
        <v>2023</v>
      </c>
      <c r="C396" t="s">
        <v>84</v>
      </c>
      <c r="D396" s="8">
        <v>12100000</v>
      </c>
      <c r="E396" t="s">
        <v>137</v>
      </c>
      <c r="F396">
        <v>2</v>
      </c>
    </row>
    <row r="397" spans="1:6" x14ac:dyDescent="0.3">
      <c r="A397" t="s">
        <v>48</v>
      </c>
      <c r="B397">
        <v>2023</v>
      </c>
      <c r="C397" t="s">
        <v>193</v>
      </c>
      <c r="D397" s="8">
        <v>3070000</v>
      </c>
      <c r="E397" t="s">
        <v>273</v>
      </c>
      <c r="F397">
        <v>3</v>
      </c>
    </row>
    <row r="398" spans="1:6" x14ac:dyDescent="0.3">
      <c r="A398" t="s">
        <v>49</v>
      </c>
      <c r="B398">
        <v>2021</v>
      </c>
      <c r="C398" t="s">
        <v>257</v>
      </c>
      <c r="D398" s="8">
        <v>213000000</v>
      </c>
      <c r="E398" t="s">
        <v>158</v>
      </c>
      <c r="F398">
        <v>1</v>
      </c>
    </row>
    <row r="399" spans="1:6" x14ac:dyDescent="0.3">
      <c r="A399" t="s">
        <v>49</v>
      </c>
      <c r="B399">
        <v>2021</v>
      </c>
      <c r="C399" t="s">
        <v>258</v>
      </c>
      <c r="D399" s="8">
        <v>37400000</v>
      </c>
      <c r="E399" t="s">
        <v>158</v>
      </c>
      <c r="F399">
        <v>2</v>
      </c>
    </row>
    <row r="400" spans="1:6" x14ac:dyDescent="0.3">
      <c r="A400" t="s">
        <v>49</v>
      </c>
      <c r="B400">
        <v>2021</v>
      </c>
      <c r="C400" t="s">
        <v>191</v>
      </c>
      <c r="D400" s="8">
        <v>35100000</v>
      </c>
      <c r="E400" t="s">
        <v>145</v>
      </c>
      <c r="F400">
        <v>3</v>
      </c>
    </row>
    <row r="401" spans="1:6" x14ac:dyDescent="0.3">
      <c r="A401" t="s">
        <v>49</v>
      </c>
      <c r="B401">
        <v>2022</v>
      </c>
      <c r="C401" t="s">
        <v>257</v>
      </c>
      <c r="D401" s="8">
        <v>279000000</v>
      </c>
      <c r="E401" t="s">
        <v>284</v>
      </c>
      <c r="F401">
        <v>1</v>
      </c>
    </row>
    <row r="402" spans="1:6" x14ac:dyDescent="0.3">
      <c r="A402" t="s">
        <v>49</v>
      </c>
      <c r="B402">
        <v>2022</v>
      </c>
      <c r="C402" t="s">
        <v>258</v>
      </c>
      <c r="D402" s="8">
        <v>39600000</v>
      </c>
      <c r="E402" t="s">
        <v>158</v>
      </c>
      <c r="F402">
        <v>2</v>
      </c>
    </row>
    <row r="403" spans="1:6" x14ac:dyDescent="0.3">
      <c r="A403" t="s">
        <v>49</v>
      </c>
      <c r="B403">
        <v>2022</v>
      </c>
      <c r="C403" t="s">
        <v>181</v>
      </c>
      <c r="D403" s="8">
        <v>21400000</v>
      </c>
      <c r="E403" t="s">
        <v>130</v>
      </c>
      <c r="F403">
        <v>3</v>
      </c>
    </row>
    <row r="404" spans="1:6" x14ac:dyDescent="0.3">
      <c r="A404" t="s">
        <v>49</v>
      </c>
      <c r="B404">
        <v>2023</v>
      </c>
      <c r="C404" t="s">
        <v>257</v>
      </c>
      <c r="D404" s="8">
        <v>377000000</v>
      </c>
      <c r="E404" t="s">
        <v>284</v>
      </c>
      <c r="F404">
        <v>1</v>
      </c>
    </row>
    <row r="405" spans="1:6" x14ac:dyDescent="0.3">
      <c r="A405" t="s">
        <v>49</v>
      </c>
      <c r="B405">
        <v>2023</v>
      </c>
      <c r="C405" t="s">
        <v>259</v>
      </c>
      <c r="D405" s="8">
        <v>74700000</v>
      </c>
      <c r="E405" t="s">
        <v>284</v>
      </c>
      <c r="F405">
        <v>2</v>
      </c>
    </row>
    <row r="406" spans="1:6" x14ac:dyDescent="0.3">
      <c r="A406" t="s">
        <v>49</v>
      </c>
      <c r="B406">
        <v>2023</v>
      </c>
      <c r="C406" t="s">
        <v>258</v>
      </c>
      <c r="D406" s="8">
        <v>43000000</v>
      </c>
      <c r="E406" t="s">
        <v>158</v>
      </c>
      <c r="F406">
        <v>3</v>
      </c>
    </row>
    <row r="407" spans="1:6" x14ac:dyDescent="0.3">
      <c r="A407" t="s">
        <v>50</v>
      </c>
      <c r="B407">
        <v>2021</v>
      </c>
      <c r="C407" t="s">
        <v>62</v>
      </c>
      <c r="D407" s="8">
        <v>1200000000</v>
      </c>
      <c r="E407" t="s">
        <v>293</v>
      </c>
      <c r="F407">
        <v>1</v>
      </c>
    </row>
    <row r="408" spans="1:6" x14ac:dyDescent="0.3">
      <c r="A408" t="s">
        <v>50</v>
      </c>
      <c r="B408">
        <v>2021</v>
      </c>
      <c r="C408" t="s">
        <v>251</v>
      </c>
      <c r="D408" s="8">
        <v>761400000</v>
      </c>
      <c r="E408" t="s">
        <v>137</v>
      </c>
      <c r="F408">
        <v>2</v>
      </c>
    </row>
    <row r="409" spans="1:6" x14ac:dyDescent="0.3">
      <c r="A409" t="s">
        <v>50</v>
      </c>
      <c r="B409">
        <v>2021</v>
      </c>
      <c r="C409" t="s">
        <v>218</v>
      </c>
      <c r="D409" s="8">
        <v>759700000</v>
      </c>
      <c r="E409" t="s">
        <v>137</v>
      </c>
      <c r="F409">
        <v>3</v>
      </c>
    </row>
    <row r="410" spans="1:6" x14ac:dyDescent="0.3">
      <c r="A410" t="s">
        <v>50</v>
      </c>
      <c r="B410">
        <v>2022</v>
      </c>
      <c r="C410" t="s">
        <v>62</v>
      </c>
      <c r="D410" s="8">
        <v>809900000</v>
      </c>
      <c r="E410" t="s">
        <v>275</v>
      </c>
      <c r="F410">
        <v>1</v>
      </c>
    </row>
    <row r="411" spans="1:6" x14ac:dyDescent="0.3">
      <c r="A411" t="s">
        <v>50</v>
      </c>
      <c r="B411">
        <v>2022</v>
      </c>
      <c r="C411" t="s">
        <v>218</v>
      </c>
      <c r="D411" s="8">
        <v>809200000</v>
      </c>
      <c r="E411" t="s">
        <v>137</v>
      </c>
      <c r="F411">
        <v>2</v>
      </c>
    </row>
    <row r="412" spans="1:6" x14ac:dyDescent="0.3">
      <c r="A412" t="s">
        <v>50</v>
      </c>
      <c r="B412">
        <v>2022</v>
      </c>
      <c r="C412" t="s">
        <v>107</v>
      </c>
      <c r="D412" s="8">
        <v>743400000</v>
      </c>
      <c r="E412" t="s">
        <v>290</v>
      </c>
      <c r="F412">
        <v>3</v>
      </c>
    </row>
    <row r="413" spans="1:6" x14ac:dyDescent="0.3">
      <c r="A413" t="s">
        <v>50</v>
      </c>
      <c r="B413">
        <v>2023</v>
      </c>
      <c r="C413" t="s">
        <v>62</v>
      </c>
      <c r="D413" s="8">
        <v>1200000000</v>
      </c>
      <c r="E413" t="s">
        <v>293</v>
      </c>
      <c r="F413">
        <v>1</v>
      </c>
    </row>
    <row r="414" spans="1:6" x14ac:dyDescent="0.3">
      <c r="A414" t="s">
        <v>50</v>
      </c>
      <c r="B414">
        <v>2023</v>
      </c>
      <c r="C414" t="s">
        <v>218</v>
      </c>
      <c r="D414" s="8">
        <v>791100000</v>
      </c>
      <c r="E414" t="s">
        <v>137</v>
      </c>
      <c r="F414">
        <v>2</v>
      </c>
    </row>
    <row r="415" spans="1:6" x14ac:dyDescent="0.3">
      <c r="A415" t="s">
        <v>50</v>
      </c>
      <c r="B415">
        <v>2023</v>
      </c>
      <c r="C415" t="s">
        <v>107</v>
      </c>
      <c r="D415" s="8">
        <v>617900000</v>
      </c>
      <c r="E415" t="s">
        <v>290</v>
      </c>
      <c r="F415">
        <v>3</v>
      </c>
    </row>
    <row r="416" spans="1:6" x14ac:dyDescent="0.3">
      <c r="A416" t="s">
        <v>51</v>
      </c>
      <c r="B416">
        <v>2021</v>
      </c>
      <c r="C416" t="s">
        <v>260</v>
      </c>
      <c r="D416" s="8">
        <v>9750000</v>
      </c>
      <c r="E416" t="s">
        <v>130</v>
      </c>
      <c r="F416">
        <v>1</v>
      </c>
    </row>
    <row r="417" spans="1:6" x14ac:dyDescent="0.3">
      <c r="A417" t="s">
        <v>51</v>
      </c>
      <c r="B417">
        <v>2021</v>
      </c>
      <c r="C417" t="s">
        <v>261</v>
      </c>
      <c r="D417" s="8">
        <v>2100000</v>
      </c>
      <c r="E417" t="s">
        <v>130</v>
      </c>
      <c r="F417">
        <v>2</v>
      </c>
    </row>
    <row r="418" spans="1:6" x14ac:dyDescent="0.3">
      <c r="A418" t="s">
        <v>51</v>
      </c>
      <c r="B418">
        <v>2021</v>
      </c>
      <c r="C418" t="s">
        <v>262</v>
      </c>
      <c r="D418" s="8">
        <v>1990000</v>
      </c>
      <c r="E418" t="s">
        <v>130</v>
      </c>
      <c r="F418">
        <v>3</v>
      </c>
    </row>
    <row r="419" spans="1:6" x14ac:dyDescent="0.3">
      <c r="A419" t="s">
        <v>51</v>
      </c>
      <c r="B419">
        <v>2022</v>
      </c>
      <c r="C419" t="s">
        <v>260</v>
      </c>
      <c r="D419" s="8">
        <v>15200000</v>
      </c>
      <c r="E419" t="s">
        <v>130</v>
      </c>
      <c r="F419">
        <v>1</v>
      </c>
    </row>
    <row r="420" spans="1:6" x14ac:dyDescent="0.3">
      <c r="A420" t="s">
        <v>51</v>
      </c>
      <c r="B420">
        <v>2022</v>
      </c>
      <c r="C420" t="s">
        <v>95</v>
      </c>
      <c r="D420" s="8">
        <v>2980000</v>
      </c>
      <c r="E420" t="s">
        <v>130</v>
      </c>
      <c r="F420">
        <v>2</v>
      </c>
    </row>
    <row r="421" spans="1:6" x14ac:dyDescent="0.3">
      <c r="A421" t="s">
        <v>51</v>
      </c>
      <c r="B421">
        <v>2022</v>
      </c>
      <c r="C421" t="s">
        <v>78</v>
      </c>
      <c r="D421" s="8">
        <v>1910000</v>
      </c>
      <c r="E421" t="s">
        <v>55</v>
      </c>
      <c r="F421">
        <v>3</v>
      </c>
    </row>
    <row r="422" spans="1:6" x14ac:dyDescent="0.3">
      <c r="A422" t="s">
        <v>51</v>
      </c>
      <c r="B422">
        <v>2023</v>
      </c>
      <c r="C422" t="s">
        <v>260</v>
      </c>
      <c r="D422" s="8">
        <v>27700000</v>
      </c>
      <c r="E422" t="s">
        <v>130</v>
      </c>
      <c r="F422">
        <v>1</v>
      </c>
    </row>
    <row r="423" spans="1:6" x14ac:dyDescent="0.3">
      <c r="A423" t="s">
        <v>51</v>
      </c>
      <c r="B423">
        <v>2023</v>
      </c>
      <c r="C423" t="s">
        <v>78</v>
      </c>
      <c r="D423" s="8">
        <v>2640000</v>
      </c>
      <c r="E423" t="s">
        <v>55</v>
      </c>
      <c r="F423">
        <v>2</v>
      </c>
    </row>
    <row r="424" spans="1:6" x14ac:dyDescent="0.3">
      <c r="A424" t="s">
        <v>51</v>
      </c>
      <c r="B424">
        <v>2023</v>
      </c>
      <c r="C424" t="s">
        <v>191</v>
      </c>
      <c r="D424" s="8">
        <v>2610000</v>
      </c>
      <c r="E424" t="s">
        <v>130</v>
      </c>
      <c r="F424">
        <v>3</v>
      </c>
    </row>
    <row r="425" spans="1:6" x14ac:dyDescent="0.3">
      <c r="A425" t="s">
        <v>52</v>
      </c>
      <c r="B425">
        <v>2021</v>
      </c>
      <c r="C425" t="s">
        <v>241</v>
      </c>
      <c r="D425" s="8">
        <v>488000000</v>
      </c>
      <c r="E425" t="s">
        <v>129</v>
      </c>
      <c r="F425">
        <v>1</v>
      </c>
    </row>
    <row r="426" spans="1:6" x14ac:dyDescent="0.3">
      <c r="A426" t="s">
        <v>52</v>
      </c>
      <c r="B426">
        <v>2021</v>
      </c>
      <c r="C426" t="s">
        <v>191</v>
      </c>
      <c r="D426" s="8">
        <v>486000000</v>
      </c>
      <c r="E426" t="s">
        <v>129</v>
      </c>
      <c r="F426">
        <v>2</v>
      </c>
    </row>
    <row r="427" spans="1:6" x14ac:dyDescent="0.3">
      <c r="A427" t="s">
        <v>52</v>
      </c>
      <c r="B427">
        <v>2021</v>
      </c>
      <c r="C427" t="s">
        <v>263</v>
      </c>
      <c r="D427" s="8">
        <v>239000000</v>
      </c>
      <c r="E427" t="s">
        <v>284</v>
      </c>
      <c r="F427">
        <v>3</v>
      </c>
    </row>
    <row r="428" spans="1:6" x14ac:dyDescent="0.3">
      <c r="A428" t="s">
        <v>52</v>
      </c>
      <c r="B428">
        <v>2022</v>
      </c>
      <c r="C428" t="s">
        <v>208</v>
      </c>
      <c r="D428" s="8">
        <v>719000000</v>
      </c>
      <c r="E428" t="s">
        <v>129</v>
      </c>
      <c r="F428">
        <v>1</v>
      </c>
    </row>
    <row r="429" spans="1:6" x14ac:dyDescent="0.3">
      <c r="A429" t="s">
        <v>52</v>
      </c>
      <c r="B429">
        <v>2022</v>
      </c>
      <c r="C429" t="s">
        <v>241</v>
      </c>
      <c r="D429" s="8">
        <v>425000000</v>
      </c>
      <c r="E429" t="s">
        <v>129</v>
      </c>
      <c r="F429">
        <v>2</v>
      </c>
    </row>
    <row r="430" spans="1:6" x14ac:dyDescent="0.3">
      <c r="A430" t="s">
        <v>52</v>
      </c>
      <c r="B430">
        <v>2022</v>
      </c>
      <c r="C430" t="s">
        <v>190</v>
      </c>
      <c r="D430" s="8">
        <v>398000000</v>
      </c>
      <c r="E430" t="s">
        <v>145</v>
      </c>
      <c r="F430">
        <v>3</v>
      </c>
    </row>
    <row r="431" spans="1:6" x14ac:dyDescent="0.3">
      <c r="A431" t="s">
        <v>52</v>
      </c>
      <c r="B431">
        <v>2023</v>
      </c>
      <c r="C431" t="s">
        <v>208</v>
      </c>
      <c r="D431" s="8">
        <v>709000000</v>
      </c>
      <c r="E431" t="s">
        <v>129</v>
      </c>
      <c r="F431">
        <v>1</v>
      </c>
    </row>
    <row r="432" spans="1:6" x14ac:dyDescent="0.3">
      <c r="A432" t="s">
        <v>52</v>
      </c>
      <c r="B432">
        <v>2023</v>
      </c>
      <c r="C432" t="s">
        <v>264</v>
      </c>
      <c r="D432" s="8">
        <v>693000000</v>
      </c>
      <c r="E432" t="s">
        <v>284</v>
      </c>
      <c r="F432">
        <v>2</v>
      </c>
    </row>
    <row r="433" spans="1:6" x14ac:dyDescent="0.3">
      <c r="A433" t="s">
        <v>52</v>
      </c>
      <c r="B433">
        <v>2023</v>
      </c>
      <c r="C433" t="s">
        <v>241</v>
      </c>
      <c r="D433" s="8">
        <v>437000000</v>
      </c>
      <c r="E433" t="s">
        <v>129</v>
      </c>
      <c r="F433">
        <v>3</v>
      </c>
    </row>
    <row r="434" spans="1:6" x14ac:dyDescent="0.3">
      <c r="A434" t="s">
        <v>53</v>
      </c>
      <c r="B434">
        <v>2021</v>
      </c>
      <c r="C434" t="s">
        <v>186</v>
      </c>
      <c r="D434" s="8">
        <v>76400000</v>
      </c>
      <c r="E434" t="s">
        <v>122</v>
      </c>
      <c r="F434">
        <v>1</v>
      </c>
    </row>
    <row r="435" spans="1:6" x14ac:dyDescent="0.3">
      <c r="A435" t="s">
        <v>53</v>
      </c>
      <c r="B435">
        <v>2021</v>
      </c>
      <c r="C435" t="s">
        <v>84</v>
      </c>
      <c r="D435" s="8">
        <v>50200000</v>
      </c>
      <c r="E435" t="s">
        <v>42</v>
      </c>
      <c r="F435">
        <v>2</v>
      </c>
    </row>
    <row r="436" spans="1:6" x14ac:dyDescent="0.3">
      <c r="A436" t="s">
        <v>53</v>
      </c>
      <c r="B436">
        <v>2021</v>
      </c>
      <c r="C436" t="s">
        <v>190</v>
      </c>
      <c r="D436" s="8">
        <v>45200000</v>
      </c>
      <c r="E436" t="s">
        <v>276</v>
      </c>
      <c r="F436">
        <v>3</v>
      </c>
    </row>
    <row r="437" spans="1:6" x14ac:dyDescent="0.3">
      <c r="A437" t="s">
        <v>53</v>
      </c>
      <c r="B437">
        <v>2022</v>
      </c>
      <c r="C437" t="s">
        <v>190</v>
      </c>
      <c r="D437" s="8">
        <v>65000000</v>
      </c>
      <c r="E437" t="s">
        <v>276</v>
      </c>
      <c r="F437">
        <v>1</v>
      </c>
    </row>
    <row r="438" spans="1:6" x14ac:dyDescent="0.3">
      <c r="A438" t="s">
        <v>53</v>
      </c>
      <c r="B438">
        <v>2022</v>
      </c>
      <c r="C438" t="s">
        <v>84</v>
      </c>
      <c r="D438" s="8">
        <v>56700000</v>
      </c>
      <c r="E438" t="s">
        <v>42</v>
      </c>
      <c r="F438">
        <v>2</v>
      </c>
    </row>
    <row r="439" spans="1:6" x14ac:dyDescent="0.3">
      <c r="A439" t="s">
        <v>53</v>
      </c>
      <c r="B439">
        <v>2022</v>
      </c>
      <c r="C439" t="s">
        <v>107</v>
      </c>
      <c r="D439" s="8">
        <v>23400000</v>
      </c>
      <c r="E439" t="s">
        <v>9</v>
      </c>
      <c r="F439">
        <v>3</v>
      </c>
    </row>
    <row r="440" spans="1:6" x14ac:dyDescent="0.3">
      <c r="A440" t="s">
        <v>53</v>
      </c>
      <c r="B440">
        <v>2023</v>
      </c>
      <c r="C440" t="s">
        <v>265</v>
      </c>
      <c r="D440" s="8">
        <v>81800000</v>
      </c>
      <c r="E440" t="s">
        <v>280</v>
      </c>
      <c r="F440">
        <v>1</v>
      </c>
    </row>
    <row r="441" spans="1:6" x14ac:dyDescent="0.3">
      <c r="A441" t="s">
        <v>53</v>
      </c>
      <c r="B441">
        <v>2023</v>
      </c>
      <c r="C441" t="s">
        <v>84</v>
      </c>
      <c r="D441" s="8">
        <v>69200000</v>
      </c>
      <c r="E441" t="s">
        <v>42</v>
      </c>
      <c r="F441">
        <v>2</v>
      </c>
    </row>
    <row r="442" spans="1:6" x14ac:dyDescent="0.3">
      <c r="A442" t="s">
        <v>53</v>
      </c>
      <c r="B442">
        <v>2023</v>
      </c>
      <c r="C442" t="s">
        <v>186</v>
      </c>
      <c r="D442" s="8">
        <v>59100000</v>
      </c>
      <c r="E442" t="s">
        <v>164</v>
      </c>
      <c r="F442">
        <v>3</v>
      </c>
    </row>
    <row r="443" spans="1:6" x14ac:dyDescent="0.3">
      <c r="A443" t="s">
        <v>54</v>
      </c>
      <c r="B443">
        <v>2021</v>
      </c>
      <c r="C443" t="s">
        <v>266</v>
      </c>
      <c r="D443" s="8">
        <v>722000000</v>
      </c>
      <c r="E443" t="s">
        <v>170</v>
      </c>
      <c r="F443">
        <v>1</v>
      </c>
    </row>
    <row r="444" spans="1:6" x14ac:dyDescent="0.3">
      <c r="A444" t="s">
        <v>54</v>
      </c>
      <c r="B444">
        <v>2021</v>
      </c>
      <c r="C444" t="s">
        <v>178</v>
      </c>
      <c r="D444" s="8">
        <v>293000000</v>
      </c>
      <c r="E444" t="s">
        <v>39</v>
      </c>
      <c r="F444">
        <v>2</v>
      </c>
    </row>
    <row r="445" spans="1:6" x14ac:dyDescent="0.3">
      <c r="A445" t="s">
        <v>54</v>
      </c>
      <c r="B445">
        <v>2021</v>
      </c>
      <c r="C445" t="s">
        <v>181</v>
      </c>
      <c r="D445" s="8">
        <v>106000000</v>
      </c>
      <c r="E445" t="s">
        <v>170</v>
      </c>
      <c r="F445">
        <v>3</v>
      </c>
    </row>
    <row r="446" spans="1:6" x14ac:dyDescent="0.3">
      <c r="A446" t="s">
        <v>54</v>
      </c>
      <c r="B446">
        <v>2022</v>
      </c>
      <c r="C446" t="s">
        <v>266</v>
      </c>
      <c r="D446" s="8">
        <v>813000000</v>
      </c>
      <c r="E446" t="s">
        <v>170</v>
      </c>
      <c r="F446">
        <v>1</v>
      </c>
    </row>
    <row r="447" spans="1:6" x14ac:dyDescent="0.3">
      <c r="A447" t="s">
        <v>54</v>
      </c>
      <c r="B447">
        <v>2022</v>
      </c>
      <c r="C447" t="s">
        <v>178</v>
      </c>
      <c r="D447" s="8">
        <v>288000000</v>
      </c>
      <c r="E447" t="s">
        <v>39</v>
      </c>
      <c r="F447">
        <v>2</v>
      </c>
    </row>
    <row r="448" spans="1:6" x14ac:dyDescent="0.3">
      <c r="A448" t="s">
        <v>54</v>
      </c>
      <c r="B448">
        <v>2022</v>
      </c>
      <c r="C448" t="s">
        <v>181</v>
      </c>
      <c r="D448" s="8">
        <v>113000000</v>
      </c>
      <c r="E448" t="s">
        <v>281</v>
      </c>
      <c r="F448">
        <v>3</v>
      </c>
    </row>
    <row r="449" spans="1:6" x14ac:dyDescent="0.3">
      <c r="A449" t="s">
        <v>54</v>
      </c>
      <c r="B449">
        <v>2023</v>
      </c>
      <c r="C449" t="s">
        <v>266</v>
      </c>
      <c r="D449" s="8">
        <v>927000000</v>
      </c>
      <c r="E449" t="s">
        <v>281</v>
      </c>
      <c r="F449">
        <v>1</v>
      </c>
    </row>
    <row r="450" spans="1:6" x14ac:dyDescent="0.3">
      <c r="A450" t="s">
        <v>54</v>
      </c>
      <c r="B450">
        <v>2023</v>
      </c>
      <c r="C450" t="s">
        <v>178</v>
      </c>
      <c r="D450" s="8">
        <v>312000000</v>
      </c>
      <c r="E450" t="s">
        <v>39</v>
      </c>
      <c r="F450">
        <v>2</v>
      </c>
    </row>
    <row r="451" spans="1:6" x14ac:dyDescent="0.3">
      <c r="A451" t="s">
        <v>54</v>
      </c>
      <c r="B451">
        <v>2023</v>
      </c>
      <c r="C451" t="s">
        <v>181</v>
      </c>
      <c r="D451" s="8">
        <v>90800000</v>
      </c>
      <c r="E451" t="s">
        <v>281</v>
      </c>
      <c r="F451">
        <v>3</v>
      </c>
    </row>
    <row r="452" spans="1:6" x14ac:dyDescent="0.3">
      <c r="A452" t="s">
        <v>55</v>
      </c>
      <c r="B452">
        <v>2021</v>
      </c>
      <c r="C452" t="s">
        <v>193</v>
      </c>
      <c r="D452" s="8">
        <v>725000000</v>
      </c>
      <c r="E452" t="s">
        <v>281</v>
      </c>
      <c r="F452">
        <v>1</v>
      </c>
    </row>
    <row r="453" spans="1:6" x14ac:dyDescent="0.3">
      <c r="A453" t="s">
        <v>55</v>
      </c>
      <c r="B453">
        <v>2021</v>
      </c>
      <c r="C453" t="s">
        <v>75</v>
      </c>
      <c r="D453" s="8">
        <v>113000000</v>
      </c>
      <c r="E453" t="s">
        <v>30</v>
      </c>
      <c r="F453">
        <v>2</v>
      </c>
    </row>
    <row r="454" spans="1:6" x14ac:dyDescent="0.3">
      <c r="A454" t="s">
        <v>55</v>
      </c>
      <c r="B454">
        <v>2021</v>
      </c>
      <c r="C454" t="s">
        <v>189</v>
      </c>
      <c r="D454" s="8">
        <v>105000000</v>
      </c>
      <c r="E454" t="s">
        <v>30</v>
      </c>
      <c r="F454">
        <v>3</v>
      </c>
    </row>
    <row r="455" spans="1:6" x14ac:dyDescent="0.3">
      <c r="A455" t="s">
        <v>55</v>
      </c>
      <c r="B455">
        <v>2022</v>
      </c>
      <c r="C455" t="s">
        <v>193</v>
      </c>
      <c r="D455" s="8">
        <v>955000000</v>
      </c>
      <c r="E455" t="s">
        <v>281</v>
      </c>
      <c r="F455">
        <v>1</v>
      </c>
    </row>
    <row r="456" spans="1:6" x14ac:dyDescent="0.3">
      <c r="A456" t="s">
        <v>55</v>
      </c>
      <c r="B456">
        <v>2022</v>
      </c>
      <c r="C456" t="s">
        <v>75</v>
      </c>
      <c r="D456" s="8">
        <v>138000000</v>
      </c>
      <c r="E456" t="s">
        <v>52</v>
      </c>
      <c r="F456">
        <v>2</v>
      </c>
    </row>
    <row r="457" spans="1:6" x14ac:dyDescent="0.3">
      <c r="A457" t="s">
        <v>55</v>
      </c>
      <c r="B457">
        <v>2022</v>
      </c>
      <c r="C457" t="s">
        <v>194</v>
      </c>
      <c r="D457" s="8">
        <v>72500000</v>
      </c>
      <c r="E457" t="s">
        <v>30</v>
      </c>
      <c r="F457">
        <v>3</v>
      </c>
    </row>
    <row r="458" spans="1:6" x14ac:dyDescent="0.3">
      <c r="A458" t="s">
        <v>55</v>
      </c>
      <c r="B458">
        <v>2023</v>
      </c>
      <c r="C458" t="s">
        <v>193</v>
      </c>
      <c r="D458" s="8">
        <v>990000000</v>
      </c>
      <c r="E458" t="s">
        <v>281</v>
      </c>
      <c r="F458">
        <v>1</v>
      </c>
    </row>
    <row r="459" spans="1:6" x14ac:dyDescent="0.3">
      <c r="A459" t="s">
        <v>55</v>
      </c>
      <c r="B459">
        <v>2023</v>
      </c>
      <c r="C459" t="s">
        <v>78</v>
      </c>
      <c r="D459" s="8">
        <v>102000000</v>
      </c>
      <c r="E459" t="s">
        <v>294</v>
      </c>
      <c r="F459">
        <v>2</v>
      </c>
    </row>
    <row r="460" spans="1:6" x14ac:dyDescent="0.3">
      <c r="A460" t="s">
        <v>55</v>
      </c>
      <c r="B460">
        <v>2023</v>
      </c>
      <c r="C460" t="s">
        <v>199</v>
      </c>
      <c r="D460" s="8">
        <v>89500000</v>
      </c>
      <c r="E460" t="s">
        <v>156</v>
      </c>
      <c r="F460">
        <v>3</v>
      </c>
    </row>
    <row r="461" spans="1:6" x14ac:dyDescent="0.3">
      <c r="A461" t="s">
        <v>56</v>
      </c>
      <c r="B461">
        <v>2021</v>
      </c>
      <c r="C461" t="s">
        <v>65</v>
      </c>
      <c r="D461" s="8">
        <v>389000000</v>
      </c>
      <c r="E461" t="s">
        <v>55</v>
      </c>
      <c r="F461">
        <v>1</v>
      </c>
    </row>
    <row r="462" spans="1:6" x14ac:dyDescent="0.3">
      <c r="A462" t="s">
        <v>56</v>
      </c>
      <c r="B462">
        <v>2021</v>
      </c>
      <c r="C462" t="s">
        <v>189</v>
      </c>
      <c r="D462" s="8">
        <v>367000000</v>
      </c>
      <c r="E462" t="s">
        <v>164</v>
      </c>
      <c r="F462">
        <v>2</v>
      </c>
    </row>
    <row r="463" spans="1:6" x14ac:dyDescent="0.3">
      <c r="A463" t="s">
        <v>56</v>
      </c>
      <c r="B463">
        <v>2021</v>
      </c>
      <c r="C463" t="s">
        <v>227</v>
      </c>
      <c r="D463" s="8">
        <v>291000000</v>
      </c>
      <c r="E463" t="s">
        <v>154</v>
      </c>
      <c r="F463">
        <v>3</v>
      </c>
    </row>
    <row r="464" spans="1:6" x14ac:dyDescent="0.3">
      <c r="A464" t="s">
        <v>56</v>
      </c>
      <c r="B464">
        <v>2022</v>
      </c>
      <c r="C464" t="s">
        <v>227</v>
      </c>
      <c r="D464" s="8">
        <v>343000000</v>
      </c>
      <c r="E464" t="s">
        <v>282</v>
      </c>
      <c r="F464">
        <v>1</v>
      </c>
    </row>
    <row r="465" spans="1:6" x14ac:dyDescent="0.3">
      <c r="A465" t="s">
        <v>56</v>
      </c>
      <c r="B465">
        <v>2022</v>
      </c>
      <c r="C465" t="s">
        <v>193</v>
      </c>
      <c r="D465" s="8">
        <v>274000000</v>
      </c>
      <c r="E465" t="s">
        <v>275</v>
      </c>
      <c r="F465">
        <v>2</v>
      </c>
    </row>
    <row r="466" spans="1:6" x14ac:dyDescent="0.3">
      <c r="A466" t="s">
        <v>56</v>
      </c>
      <c r="B466">
        <v>2022</v>
      </c>
      <c r="C466" t="s">
        <v>189</v>
      </c>
      <c r="D466" s="8">
        <v>257000000</v>
      </c>
      <c r="E466" t="s">
        <v>164</v>
      </c>
      <c r="F466">
        <v>3</v>
      </c>
    </row>
    <row r="467" spans="1:6" x14ac:dyDescent="0.3">
      <c r="A467" t="s">
        <v>56</v>
      </c>
      <c r="B467">
        <v>2023</v>
      </c>
      <c r="C467" t="s">
        <v>189</v>
      </c>
      <c r="D467" s="8">
        <v>352000000</v>
      </c>
      <c r="E467" t="s">
        <v>164</v>
      </c>
      <c r="F467">
        <v>1</v>
      </c>
    </row>
    <row r="468" spans="1:6" x14ac:dyDescent="0.3">
      <c r="A468" t="s">
        <v>56</v>
      </c>
      <c r="B468">
        <v>2023</v>
      </c>
      <c r="C468" t="s">
        <v>191</v>
      </c>
      <c r="D468" s="8">
        <v>287000000</v>
      </c>
      <c r="E468" t="s">
        <v>129</v>
      </c>
      <c r="F468">
        <v>2</v>
      </c>
    </row>
    <row r="469" spans="1:6" x14ac:dyDescent="0.3">
      <c r="A469" t="s">
        <v>56</v>
      </c>
      <c r="B469">
        <v>2023</v>
      </c>
      <c r="C469" t="s">
        <v>193</v>
      </c>
      <c r="D469" s="8">
        <v>286000000</v>
      </c>
      <c r="E469" t="s">
        <v>281</v>
      </c>
      <c r="F469">
        <v>3</v>
      </c>
    </row>
    <row r="470" spans="1:6" x14ac:dyDescent="0.3">
      <c r="A470" t="s">
        <v>57</v>
      </c>
      <c r="B470">
        <v>2021</v>
      </c>
      <c r="C470" t="s">
        <v>267</v>
      </c>
      <c r="D470" s="8">
        <v>66400000.000000007</v>
      </c>
      <c r="E470" t="s">
        <v>135</v>
      </c>
      <c r="F470">
        <v>1</v>
      </c>
    </row>
    <row r="471" spans="1:6" x14ac:dyDescent="0.3">
      <c r="A471" t="s">
        <v>57</v>
      </c>
      <c r="B471">
        <v>2021</v>
      </c>
      <c r="C471" t="s">
        <v>62</v>
      </c>
      <c r="D471" s="8">
        <v>56400000</v>
      </c>
      <c r="E471" t="s">
        <v>58</v>
      </c>
      <c r="F471">
        <v>2</v>
      </c>
    </row>
    <row r="472" spans="1:6" x14ac:dyDescent="0.3">
      <c r="A472" t="s">
        <v>57</v>
      </c>
      <c r="B472">
        <v>2021</v>
      </c>
      <c r="C472" t="s">
        <v>77</v>
      </c>
      <c r="D472" s="8">
        <v>51300000</v>
      </c>
      <c r="E472" t="s">
        <v>18</v>
      </c>
      <c r="F472">
        <v>3</v>
      </c>
    </row>
    <row r="473" spans="1:6" x14ac:dyDescent="0.3">
      <c r="A473" t="s">
        <v>57</v>
      </c>
      <c r="B473">
        <v>2022</v>
      </c>
      <c r="C473" t="s">
        <v>77</v>
      </c>
      <c r="D473" s="8">
        <v>137800000</v>
      </c>
      <c r="E473" t="s">
        <v>18</v>
      </c>
      <c r="F473">
        <v>1</v>
      </c>
    </row>
    <row r="474" spans="1:6" x14ac:dyDescent="0.3">
      <c r="A474" t="s">
        <v>57</v>
      </c>
      <c r="B474">
        <v>2022</v>
      </c>
      <c r="C474" t="s">
        <v>62</v>
      </c>
      <c r="D474" s="8">
        <v>94100000</v>
      </c>
      <c r="E474" t="s">
        <v>30</v>
      </c>
      <c r="F474">
        <v>2</v>
      </c>
    </row>
    <row r="475" spans="1:6" x14ac:dyDescent="0.3">
      <c r="A475" t="s">
        <v>57</v>
      </c>
      <c r="B475">
        <v>2022</v>
      </c>
      <c r="C475" t="s">
        <v>267</v>
      </c>
      <c r="D475" s="8">
        <v>74500000</v>
      </c>
      <c r="E475" t="s">
        <v>30</v>
      </c>
      <c r="F475">
        <v>3</v>
      </c>
    </row>
    <row r="476" spans="1:6" x14ac:dyDescent="0.3">
      <c r="A476" t="s">
        <v>57</v>
      </c>
      <c r="B476">
        <v>2023</v>
      </c>
      <c r="C476" t="s">
        <v>77</v>
      </c>
      <c r="D476" s="8">
        <v>104000000</v>
      </c>
      <c r="E476" t="s">
        <v>18</v>
      </c>
      <c r="F476">
        <v>1</v>
      </c>
    </row>
    <row r="477" spans="1:6" x14ac:dyDescent="0.3">
      <c r="A477" t="s">
        <v>57</v>
      </c>
      <c r="B477">
        <v>2023</v>
      </c>
      <c r="C477" t="s">
        <v>75</v>
      </c>
      <c r="D477" s="8">
        <v>120000000</v>
      </c>
      <c r="E477" t="s">
        <v>18</v>
      </c>
      <c r="F477">
        <v>2</v>
      </c>
    </row>
    <row r="478" spans="1:6" x14ac:dyDescent="0.3">
      <c r="A478" t="s">
        <v>57</v>
      </c>
      <c r="B478">
        <v>2023</v>
      </c>
      <c r="C478" t="s">
        <v>267</v>
      </c>
      <c r="D478" s="8">
        <v>94600000</v>
      </c>
      <c r="E478" t="s">
        <v>50</v>
      </c>
      <c r="F478">
        <v>3</v>
      </c>
    </row>
    <row r="479" spans="1:6" x14ac:dyDescent="0.3">
      <c r="A479" t="s">
        <v>58</v>
      </c>
      <c r="B479">
        <v>2021</v>
      </c>
      <c r="C479" t="s">
        <v>190</v>
      </c>
      <c r="D479" s="8">
        <v>50800000</v>
      </c>
      <c r="E479" t="s">
        <v>155</v>
      </c>
      <c r="F479">
        <v>1</v>
      </c>
    </row>
    <row r="480" spans="1:6" x14ac:dyDescent="0.3">
      <c r="A480" t="s">
        <v>58</v>
      </c>
      <c r="B480">
        <v>2021</v>
      </c>
      <c r="C480" t="s">
        <v>218</v>
      </c>
      <c r="D480" s="8">
        <v>45600000</v>
      </c>
      <c r="E480" t="s">
        <v>50</v>
      </c>
      <c r="F480">
        <v>2</v>
      </c>
    </row>
    <row r="481" spans="1:6" x14ac:dyDescent="0.3">
      <c r="A481" t="s">
        <v>58</v>
      </c>
      <c r="B481">
        <v>2021</v>
      </c>
      <c r="C481" t="s">
        <v>75</v>
      </c>
      <c r="D481" s="8">
        <v>36200000</v>
      </c>
      <c r="E481" t="s">
        <v>30</v>
      </c>
      <c r="F481">
        <v>3</v>
      </c>
    </row>
    <row r="482" spans="1:6" x14ac:dyDescent="0.3">
      <c r="A482" t="s">
        <v>58</v>
      </c>
      <c r="B482">
        <v>2022</v>
      </c>
      <c r="C482" t="s">
        <v>190</v>
      </c>
      <c r="D482" s="8">
        <v>115000000</v>
      </c>
      <c r="E482" t="s">
        <v>31</v>
      </c>
      <c r="F482">
        <v>1</v>
      </c>
    </row>
    <row r="483" spans="1:6" x14ac:dyDescent="0.3">
      <c r="A483" t="s">
        <v>58</v>
      </c>
      <c r="B483">
        <v>2022</v>
      </c>
      <c r="C483" t="s">
        <v>218</v>
      </c>
      <c r="D483" s="8">
        <v>44600000</v>
      </c>
      <c r="E483" t="s">
        <v>170</v>
      </c>
      <c r="F483">
        <v>2</v>
      </c>
    </row>
    <row r="484" spans="1:6" x14ac:dyDescent="0.3">
      <c r="A484" t="s">
        <v>58</v>
      </c>
      <c r="B484">
        <v>2022</v>
      </c>
      <c r="C484" t="s">
        <v>75</v>
      </c>
      <c r="D484" s="8">
        <v>40300000</v>
      </c>
      <c r="E484" t="s">
        <v>40</v>
      </c>
      <c r="F484">
        <v>3</v>
      </c>
    </row>
    <row r="485" spans="1:6" x14ac:dyDescent="0.3">
      <c r="A485" t="s">
        <v>58</v>
      </c>
      <c r="B485">
        <v>2023</v>
      </c>
      <c r="C485" t="s">
        <v>75</v>
      </c>
      <c r="D485" s="8">
        <v>87300000</v>
      </c>
      <c r="E485" t="s">
        <v>40</v>
      </c>
      <c r="F485">
        <v>1</v>
      </c>
    </row>
    <row r="486" spans="1:6" x14ac:dyDescent="0.3">
      <c r="A486" t="s">
        <v>58</v>
      </c>
      <c r="B486">
        <v>2023</v>
      </c>
      <c r="C486" t="s">
        <v>218</v>
      </c>
      <c r="D486" s="8">
        <v>45800000</v>
      </c>
      <c r="E486" t="s">
        <v>137</v>
      </c>
      <c r="F486">
        <v>2</v>
      </c>
    </row>
    <row r="487" spans="1:6" x14ac:dyDescent="0.3">
      <c r="A487" t="s">
        <v>58</v>
      </c>
      <c r="B487">
        <v>2023</v>
      </c>
      <c r="C487" t="s">
        <v>268</v>
      </c>
      <c r="D487" s="8">
        <v>30700000</v>
      </c>
      <c r="E487" t="s">
        <v>294</v>
      </c>
      <c r="F487">
        <v>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b953815a-ae20-4bc1-91c8-a019edc8b34f}" enabled="1" method="Standard" siteId="{e404e285-6ce2-49df-8319-090db24b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Import Dashboard</vt:lpstr>
      <vt:lpstr>Export Dashboard</vt:lpstr>
      <vt:lpstr>Import</vt:lpstr>
      <vt:lpstr>Export</vt:lpstr>
      <vt:lpstr>Cleaned Imports</vt:lpstr>
      <vt:lpstr>Cleaned Exports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Lartey, Lord</cp:lastModifiedBy>
  <dcterms:created xsi:type="dcterms:W3CDTF">2025-04-11T16:05:22Z</dcterms:created>
  <dcterms:modified xsi:type="dcterms:W3CDTF">2025-12-17T08:56:02Z</dcterms:modified>
</cp:coreProperties>
</file>